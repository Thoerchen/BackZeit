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alfa\Documents\Data Engineer\Projekt\BackZeit\"/>
    </mc:Choice>
  </mc:AlternateContent>
  <xr:revisionPtr revIDLastSave="0" documentId="13_ncr:1_{2FC9D123-35EB-4D62-99C3-D9FCD167D2D3}" xr6:coauthVersionLast="47" xr6:coauthVersionMax="47" xr10:uidLastSave="{00000000-0000-0000-0000-000000000000}"/>
  <bookViews>
    <workbookView xWindow="-28920" yWindow="-105" windowWidth="29040" windowHeight="15840" tabRatio="500" xr2:uid="{00000000-000D-0000-FFFF-FFFF00000000}"/>
  </bookViews>
  <sheets>
    <sheet name="3.NF" sheetId="1" r:id="rId1"/>
    <sheet name="Bäckereikette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D95" i="2" l="1"/>
  <c r="E94" i="2"/>
  <c r="D94" i="2"/>
  <c r="E93" i="2"/>
  <c r="D93" i="2"/>
  <c r="F93" i="2" s="1"/>
  <c r="G93" i="2" s="1"/>
  <c r="H93" i="2" s="1"/>
  <c r="I93" i="2" s="1"/>
  <c r="E92" i="2"/>
  <c r="D92" i="2"/>
  <c r="F92" i="2" s="1"/>
  <c r="G92" i="2" s="1"/>
  <c r="H92" i="2" s="1"/>
  <c r="I92" i="2" s="1"/>
  <c r="D91" i="2"/>
  <c r="D90" i="2"/>
  <c r="D89" i="2"/>
  <c r="D88" i="2"/>
  <c r="D87" i="2"/>
  <c r="E86" i="2"/>
  <c r="D86" i="2"/>
  <c r="E85" i="2"/>
  <c r="D85" i="2"/>
  <c r="F85" i="2" s="1"/>
  <c r="G85" i="2" s="1"/>
  <c r="H85" i="2" s="1"/>
  <c r="I85" i="2" s="1"/>
  <c r="E84" i="2"/>
  <c r="D84" i="2"/>
  <c r="F84" i="2" s="1"/>
  <c r="E79" i="2"/>
  <c r="E78" i="2"/>
  <c r="E76" i="2"/>
  <c r="E95" i="2" s="1"/>
  <c r="F95" i="2" s="1"/>
  <c r="G95" i="2" s="1"/>
  <c r="H95" i="2" s="1"/>
  <c r="I95" i="2" s="1"/>
  <c r="E61" i="2"/>
  <c r="E91" i="2"/>
  <c r="F91" i="2" s="1"/>
  <c r="G91" i="2" s="1"/>
  <c r="H91" i="2" s="1"/>
  <c r="I91" i="2" s="1"/>
  <c r="E55" i="2"/>
  <c r="E90" i="2" s="1"/>
  <c r="E48" i="2"/>
  <c r="E89" i="2" s="1"/>
  <c r="E45" i="2"/>
  <c r="E88" i="2" s="1"/>
  <c r="E41" i="2"/>
  <c r="E39" i="2"/>
  <c r="E33" i="2"/>
  <c r="E87" i="2" s="1"/>
  <c r="F87" i="2" s="1"/>
  <c r="G87" i="2" s="1"/>
  <c r="H87" i="2" s="1"/>
  <c r="I87" i="2" s="1"/>
  <c r="F94" i="2" l="1"/>
  <c r="G94" i="2" s="1"/>
  <c r="H94" i="2" s="1"/>
  <c r="I94" i="2" s="1"/>
  <c r="F90" i="2"/>
  <c r="G90" i="2" s="1"/>
  <c r="H90" i="2" s="1"/>
  <c r="I90" i="2" s="1"/>
  <c r="F86" i="2"/>
  <c r="G86" i="2" s="1"/>
  <c r="H86" i="2" s="1"/>
  <c r="I86" i="2" s="1"/>
  <c r="F89" i="2"/>
  <c r="G89" i="2" s="1"/>
  <c r="H89" i="2" s="1"/>
  <c r="I89" i="2" s="1"/>
  <c r="G84" i="2"/>
  <c r="F88" i="2"/>
  <c r="G88" i="2" s="1"/>
  <c r="H88" i="2" s="1"/>
  <c r="I88" i="2" s="1"/>
  <c r="F97" i="2" l="1"/>
  <c r="F99" i="2" s="1"/>
  <c r="H84" i="2"/>
  <c r="G97" i="2"/>
  <c r="G99" i="2" s="1"/>
  <c r="H97" i="2" l="1"/>
  <c r="H99" i="2" s="1"/>
  <c r="I84" i="2"/>
  <c r="I97" i="2" s="1"/>
  <c r="I99" i="2" s="1"/>
</calcChain>
</file>

<file path=xl/sharedStrings.xml><?xml version="1.0" encoding="utf-8"?>
<sst xmlns="http://schemas.openxmlformats.org/spreadsheetml/2006/main" count="444" uniqueCount="101">
  <si>
    <t>Filiale</t>
  </si>
  <si>
    <t>Verkauf</t>
  </si>
  <si>
    <t>Verkäufer</t>
  </si>
  <si>
    <t>Mitarbeiter</t>
  </si>
  <si>
    <t>Produkt</t>
  </si>
  <si>
    <t>Kategorie</t>
  </si>
  <si>
    <t>Rezept</t>
  </si>
  <si>
    <t>Zutaten</t>
  </si>
  <si>
    <t>beinhaltet</t>
  </si>
  <si>
    <t>wird verkauft</t>
  </si>
  <si>
    <t>arbeitet in</t>
  </si>
  <si>
    <t>FilialID</t>
  </si>
  <si>
    <t>Zeitpunkt</t>
  </si>
  <si>
    <t>VerkäuferID</t>
  </si>
  <si>
    <t>MitarbeiterID</t>
  </si>
  <si>
    <t>ProduktID</t>
  </si>
  <si>
    <t>KategorieID</t>
  </si>
  <si>
    <t>ZutatID</t>
  </si>
  <si>
    <t>Filialname</t>
  </si>
  <si>
    <t>Name</t>
  </si>
  <si>
    <t>Bruttopreis</t>
  </si>
  <si>
    <t>Version</t>
  </si>
  <si>
    <t>Adresse</t>
  </si>
  <si>
    <t>Zahlart</t>
  </si>
  <si>
    <t>Geschlecht</t>
  </si>
  <si>
    <t>Nettopreis</t>
  </si>
  <si>
    <t>Zubereitungsdauer</t>
  </si>
  <si>
    <t>Allergen</t>
  </si>
  <si>
    <t>Datum</t>
  </si>
  <si>
    <t>Stromkosten</t>
  </si>
  <si>
    <t>Stunden/Woche</t>
  </si>
  <si>
    <t>ProduktName</t>
  </si>
  <si>
    <t>gültig_bis</t>
  </si>
  <si>
    <t>PreisProkg</t>
  </si>
  <si>
    <t>Menge</t>
  </si>
  <si>
    <t>Schichtende</t>
  </si>
  <si>
    <t>Heizkosten</t>
  </si>
  <si>
    <t>Kündigungsdatum</t>
  </si>
  <si>
    <t>gültig_ab</t>
  </si>
  <si>
    <t>Bezeichnung</t>
  </si>
  <si>
    <t>Schichtbeginn</t>
  </si>
  <si>
    <t>Kaltmiete</t>
  </si>
  <si>
    <t>Gehalt/Stunde</t>
  </si>
  <si>
    <t>Backzeit</t>
  </si>
  <si>
    <t>sonstNebenkosten</t>
  </si>
  <si>
    <t>Einstellungsdatum</t>
  </si>
  <si>
    <t>Autor</t>
  </si>
  <si>
    <t>qm</t>
  </si>
  <si>
    <t>Telefonnummer</t>
  </si>
  <si>
    <t>Stückzahl</t>
  </si>
  <si>
    <t>Arbeitsbereich</t>
  </si>
  <si>
    <t>AdresseID</t>
  </si>
  <si>
    <t>Straße</t>
  </si>
  <si>
    <t>PLZ</t>
  </si>
  <si>
    <t>Ort</t>
  </si>
  <si>
    <t>Hausnummer</t>
  </si>
  <si>
    <t>char</t>
  </si>
  <si>
    <t>tinyint</t>
  </si>
  <si>
    <t>PreisProKg</t>
  </si>
  <si>
    <t>GrößeInQm</t>
  </si>
  <si>
    <t>Relation</t>
  </si>
  <si>
    <t>Feldname</t>
  </si>
  <si>
    <t>Datentyp</t>
  </si>
  <si>
    <t>Länge /
Genauigkeit</t>
  </si>
  <si>
    <t>Storage Bytes
(je Datensatz)</t>
  </si>
  <si>
    <t>PK</t>
  </si>
  <si>
    <t>FK</t>
  </si>
  <si>
    <t>IDENTITY</t>
  </si>
  <si>
    <t>Default</t>
  </si>
  <si>
    <t>Computed</t>
  </si>
  <si>
    <t>Index</t>
  </si>
  <si>
    <t>Unique</t>
  </si>
  <si>
    <t>NOT NULL</t>
  </si>
  <si>
    <t>CHECK</t>
  </si>
  <si>
    <t>integer</t>
  </si>
  <si>
    <t>nvarchar</t>
  </si>
  <si>
    <t>Decimal(7,2)</t>
  </si>
  <si>
    <t>datetime2</t>
  </si>
  <si>
    <t>StundenProWoche</t>
  </si>
  <si>
    <t>Decimal(4,2)</t>
  </si>
  <si>
    <t>GehaltProStunde</t>
  </si>
  <si>
    <t>smallint</t>
  </si>
  <si>
    <t>boolean</t>
  </si>
  <si>
    <t>Decimal(5,2)</t>
  </si>
  <si>
    <t>date</t>
  </si>
  <si>
    <t>time</t>
  </si>
  <si>
    <t>varchar</t>
  </si>
  <si>
    <t>Speicherbedarfshochrechnung (Relationen)</t>
  </si>
  <si>
    <t>Bytes je Datensatz werden automatisch anhand des Relation-Namens aus Tabelle Speicherbedarfsermittlung summiert</t>
  </si>
  <si>
    <t>Relationen-Übersicht (Anz. DS ist je Relation unterschiedlich)</t>
  </si>
  <si>
    <t>Anz. DS 
Bestand</t>
  </si>
  <si>
    <t>Anz. DS 
Zuwachs (1 J.)</t>
  </si>
  <si>
    <t>Gesamt:
DS</t>
  </si>
  <si>
    <t>Bytes je 
Datensatz (1 DS)</t>
  </si>
  <si>
    <t>Speicherbedarf
gesamt (Bytes)</t>
  </si>
  <si>
    <t>KB (1 KB 
= 1024 Byte)</t>
  </si>
  <si>
    <t>MB</t>
  </si>
  <si>
    <t>GB</t>
  </si>
  <si>
    <t>Gesamt (alle Relationen)</t>
  </si>
  <si>
    <t>Aufschlag für Unvorhergesehenes
(ohnehin Reserve vorhanden, da der Füllgrad von varchar geschätzt nur etwa 40% betragen wird</t>
  </si>
  <si>
    <t>LagerkostenProg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</si>
</sst>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\ %"/>
  </numFmts>
  <fonts count="16" x14ac:knownFonts="1">
    <font>
      <sz val="10"/>
      <name val="Calibri"/>
      <family val="2"/>
      <charset val="1"/>
    </font>
    <font>
      <b/>
      <sz val="10"/>
      <name val="Calibri"/>
      <family val="2"/>
      <charset val="1"/>
    </font>
    <font>
      <u/>
      <sz val="1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1"/>
      <color rgb="FFBFBFBF"/>
      <name val="Arial"/>
      <charset val="1"/>
    </font>
    <font>
      <b/>
      <sz val="11"/>
      <color rgb="FFFF6600"/>
      <name val="Arial"/>
      <charset val="1"/>
    </font>
    <font>
      <sz val="11"/>
      <color rgb="FF333333"/>
      <name val="Calibri"/>
      <charset val="1"/>
    </font>
    <font>
      <u/>
      <sz val="11"/>
      <color rgb="FF0000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  <font>
      <b/>
      <sz val="14"/>
      <color rgb="FF2F5496"/>
      <name val="Arial"/>
      <charset val="1"/>
    </font>
    <font>
      <i/>
      <sz val="9"/>
      <color rgb="FF808080"/>
      <name val="Arial"/>
      <charset val="1"/>
    </font>
    <font>
      <b/>
      <sz val="11"/>
      <color rgb="FF2F5496"/>
      <name val="Calibri"/>
      <charset val="1"/>
    </font>
    <font>
      <b/>
      <sz val="11"/>
      <color rgb="FFBFBFBF"/>
      <name val="Calibri"/>
      <charset val="1"/>
    </font>
    <font>
      <b/>
      <sz val="11"/>
      <color rgb="FFFF6600"/>
      <name val="Calibri"/>
      <charset val="1"/>
    </font>
    <font>
      <b/>
      <sz val="11"/>
      <color rgb="FF000000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BFBFBF"/>
      </patternFill>
    </fill>
    <fill>
      <patternFill patternType="solid">
        <fgColor rgb="FFA1467E"/>
        <bgColor rgb="FF993366"/>
      </patternFill>
    </fill>
    <fill>
      <patternFill patternType="solid">
        <fgColor rgb="FF2F5496"/>
        <bgColor rgb="FF666699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hair">
        <color rgb="FFBFBFBF"/>
      </left>
      <right style="hair">
        <color rgb="FFBFBFBF"/>
      </right>
      <top style="hair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 applyProtection="1"/>
    <xf numFmtId="0" fontId="2" fillId="0" borderId="0" xfId="0" applyFont="1" applyAlignment="1" applyProtection="1"/>
    <xf numFmtId="0" fontId="2" fillId="2" borderId="0" xfId="0" applyFont="1" applyFill="1" applyAlignment="1" applyProtection="1"/>
    <xf numFmtId="0" fontId="0" fillId="0" borderId="0" xfId="0" applyFont="1" applyAlignment="1" applyProtection="1"/>
    <xf numFmtId="0" fontId="0" fillId="2" borderId="0" xfId="0" applyFont="1" applyFill="1" applyAlignment="1" applyProtection="1"/>
    <xf numFmtId="0" fontId="0" fillId="3" borderId="0" xfId="0" applyFont="1" applyFill="1" applyAlignment="1" applyProtection="1"/>
    <xf numFmtId="0" fontId="1" fillId="0" borderId="0" xfId="0" applyFont="1"/>
    <xf numFmtId="0" fontId="3" fillId="0" borderId="0" xfId="0" applyFont="1" applyAlignment="1" applyProtection="1"/>
    <xf numFmtId="0" fontId="0" fillId="0" borderId="0" xfId="0" applyAlignment="1" applyProtection="1">
      <alignment horizontal="center"/>
    </xf>
    <xf numFmtId="0" fontId="0" fillId="0" borderId="0" xfId="0" applyAlignment="1" applyProtection="1"/>
    <xf numFmtId="0" fontId="1" fillId="0" borderId="0" xfId="0" applyFont="1" applyAlignment="1" applyProtection="1">
      <alignment horizontal="center"/>
    </xf>
    <xf numFmtId="0" fontId="2" fillId="0" borderId="0" xfId="0" applyFont="1"/>
    <xf numFmtId="0" fontId="4" fillId="4" borderId="1" xfId="0" applyFont="1" applyFill="1" applyBorder="1" applyAlignment="1" applyProtection="1">
      <alignment horizontal="center"/>
    </xf>
    <xf numFmtId="0" fontId="4" fillId="4" borderId="1" xfId="0" applyFont="1" applyFill="1" applyBorder="1" applyAlignment="1" applyProtection="1">
      <alignment horizontal="center" wrapText="1"/>
    </xf>
    <xf numFmtId="0" fontId="5" fillId="4" borderId="1" xfId="0" applyFont="1" applyFill="1" applyBorder="1" applyAlignment="1" applyProtection="1">
      <alignment horizontal="center" wrapText="1"/>
    </xf>
    <xf numFmtId="0" fontId="6" fillId="0" borderId="0" xfId="0" applyFont="1" applyAlignment="1" applyProtection="1"/>
    <xf numFmtId="0" fontId="7" fillId="0" borderId="0" xfId="0" applyFont="1" applyAlignment="1" applyProtection="1"/>
    <xf numFmtId="0" fontId="8" fillId="0" borderId="0" xfId="0" applyFont="1" applyAlignment="1" applyProtection="1"/>
    <xf numFmtId="0" fontId="9" fillId="5" borderId="0" xfId="0" applyFont="1" applyFill="1" applyAlignment="1" applyProtection="1">
      <alignment horizontal="right"/>
    </xf>
    <xf numFmtId="0" fontId="9" fillId="0" borderId="0" xfId="0" applyFont="1" applyAlignment="1" applyProtection="1">
      <alignment horizontal="center"/>
    </xf>
    <xf numFmtId="0" fontId="9" fillId="0" borderId="0" xfId="0" applyFont="1" applyAlignment="1" applyProtection="1">
      <alignment horizontal="right"/>
    </xf>
    <xf numFmtId="0" fontId="8" fillId="0" borderId="0" xfId="0" applyFont="1" applyAlignment="1" applyProtection="1">
      <alignment horizontal="right"/>
    </xf>
    <xf numFmtId="0" fontId="9" fillId="0" borderId="0" xfId="0" applyFont="1" applyAlignment="1" applyProtection="1"/>
    <xf numFmtId="0" fontId="0" fillId="5" borderId="0" xfId="0" applyFill="1" applyAlignment="1" applyProtection="1"/>
    <xf numFmtId="0" fontId="8" fillId="5" borderId="0" xfId="0" applyFont="1" applyFill="1" applyAlignment="1" applyProtection="1">
      <alignment horizontal="right"/>
    </xf>
    <xf numFmtId="0" fontId="0" fillId="5" borderId="0" xfId="0" applyFill="1"/>
    <xf numFmtId="0" fontId="10" fillId="0" borderId="0" xfId="0" applyFont="1" applyAlignment="1" applyProtection="1">
      <alignment horizontal="right"/>
    </xf>
    <xf numFmtId="0" fontId="11" fillId="0" borderId="0" xfId="0" applyFont="1" applyAlignment="1" applyProtection="1">
      <alignment horizontal="center"/>
    </xf>
    <xf numFmtId="0" fontId="12" fillId="0" borderId="0" xfId="0" applyFont="1" applyAlignment="1" applyProtection="1">
      <alignment horizontal="right"/>
    </xf>
    <xf numFmtId="0" fontId="13" fillId="4" borderId="0" xfId="0" applyFont="1" applyFill="1" applyAlignment="1" applyProtection="1"/>
    <xf numFmtId="0" fontId="13" fillId="4" borderId="0" xfId="0" applyFont="1" applyFill="1" applyAlignment="1" applyProtection="1">
      <alignment wrapText="1"/>
    </xf>
    <xf numFmtId="0" fontId="14" fillId="4" borderId="0" xfId="0" applyFont="1" applyFill="1" applyAlignment="1" applyProtection="1">
      <alignment wrapText="1"/>
    </xf>
    <xf numFmtId="0" fontId="6" fillId="0" borderId="0" xfId="0" applyFont="1" applyAlignment="1" applyProtection="1">
      <alignment horizontal="left"/>
    </xf>
    <xf numFmtId="164" fontId="9" fillId="5" borderId="0" xfId="0" applyNumberFormat="1" applyFont="1" applyFill="1" applyAlignment="1" applyProtection="1">
      <alignment horizontal="right"/>
    </xf>
    <xf numFmtId="0" fontId="9" fillId="0" borderId="0" xfId="0" applyFont="1" applyAlignment="1" applyProtection="1">
      <alignment horizontal="left"/>
    </xf>
    <xf numFmtId="11" fontId="0" fillId="0" borderId="0" xfId="0" applyNumberFormat="1" applyAlignment="1" applyProtection="1"/>
    <xf numFmtId="0" fontId="0" fillId="0" borderId="0" xfId="0" applyFont="1" applyAlignment="1" applyProtection="1">
      <alignment horizontal="left"/>
    </xf>
    <xf numFmtId="11" fontId="8" fillId="0" borderId="0" xfId="0" applyNumberFormat="1" applyFont="1" applyAlignment="1" applyProtection="1"/>
    <xf numFmtId="0" fontId="15" fillId="0" borderId="0" xfId="0" applyFont="1" applyAlignment="1" applyProtection="1"/>
    <xf numFmtId="0" fontId="15" fillId="0" borderId="0" xfId="0" applyFont="1" applyAlignment="1" applyProtection="1">
      <alignment horizontal="right"/>
    </xf>
    <xf numFmtId="165" fontId="8" fillId="0" borderId="0" xfId="0" applyNumberFormat="1" applyFont="1" applyAlignment="1" applyProtection="1">
      <alignment horizontal="right"/>
    </xf>
    <xf numFmtId="0" fontId="10" fillId="0" borderId="0" xfId="0" applyFont="1" applyBorder="1" applyAlignment="1" applyProtection="1"/>
    <xf numFmtId="0" fontId="11" fillId="0" borderId="0" xfId="0" applyFont="1" applyBorder="1" applyAlignment="1" applyProtection="1">
      <alignment horizontal="center"/>
    </xf>
    <xf numFmtId="0" fontId="12" fillId="0" borderId="0" xfId="0" applyFont="1" applyBorder="1" applyAlignment="1" applyProtection="1"/>
    <xf numFmtId="0" fontId="15" fillId="0" borderId="0" xfId="0" applyFont="1" applyBorder="1" applyAlignment="1" applyProtection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A1467E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2"/>
  <sheetViews>
    <sheetView tabSelected="1" zoomScaleNormal="100" workbookViewId="0">
      <selection activeCell="N14" sqref="N14"/>
    </sheetView>
  </sheetViews>
  <sheetFormatPr baseColWidth="10" defaultColWidth="12.7109375" defaultRowHeight="12.75" x14ac:dyDescent="0.2"/>
  <cols>
    <col min="1" max="1" width="16" customWidth="1"/>
    <col min="3" max="3" width="18.42578125" customWidth="1"/>
    <col min="4" max="4" width="15.85546875" customWidth="1"/>
    <col min="5" max="5" width="12.42578125" customWidth="1"/>
    <col min="7" max="7" width="16.425781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15</v>
      </c>
      <c r="H2" s="2" t="s">
        <v>17</v>
      </c>
      <c r="I2" s="3" t="s">
        <v>17</v>
      </c>
      <c r="J2" s="3" t="s">
        <v>11</v>
      </c>
      <c r="K2" s="3" t="s">
        <v>11</v>
      </c>
    </row>
    <row r="3" spans="1:11" x14ac:dyDescent="0.2">
      <c r="A3" s="4" t="s">
        <v>18</v>
      </c>
      <c r="B3" s="3" t="s">
        <v>11</v>
      </c>
      <c r="C3" s="5" t="s">
        <v>14</v>
      </c>
      <c r="D3" s="4" t="s">
        <v>19</v>
      </c>
      <c r="E3" s="4" t="s">
        <v>20</v>
      </c>
      <c r="F3" s="4" t="s">
        <v>19</v>
      </c>
      <c r="G3" s="2" t="s">
        <v>21</v>
      </c>
      <c r="H3" s="4" t="s">
        <v>100</v>
      </c>
      <c r="I3" s="3" t="s">
        <v>21</v>
      </c>
      <c r="J3" s="3" t="s">
        <v>12</v>
      </c>
      <c r="K3" s="3" t="s">
        <v>13</v>
      </c>
    </row>
    <row r="4" spans="1:11" x14ac:dyDescent="0.2">
      <c r="A4" s="6" t="s">
        <v>22</v>
      </c>
      <c r="B4" s="4" t="s">
        <v>23</v>
      </c>
      <c r="C4" s="4"/>
      <c r="D4" s="4" t="s">
        <v>24</v>
      </c>
      <c r="E4" s="4" t="s">
        <v>25</v>
      </c>
      <c r="F4" s="4"/>
      <c r="G4" s="4" t="s">
        <v>26</v>
      </c>
      <c r="H4" s="4" t="s">
        <v>27</v>
      </c>
      <c r="I4" s="3" t="s">
        <v>15</v>
      </c>
      <c r="J4" s="3" t="s">
        <v>15</v>
      </c>
      <c r="K4" s="4" t="s">
        <v>28</v>
      </c>
    </row>
    <row r="5" spans="1:11" x14ac:dyDescent="0.2">
      <c r="A5" s="4" t="s">
        <v>29</v>
      </c>
      <c r="B5" s="4" t="s">
        <v>13</v>
      </c>
      <c r="C5" s="4"/>
      <c r="D5" s="4" t="s">
        <v>30</v>
      </c>
      <c r="E5" s="4" t="s">
        <v>31</v>
      </c>
      <c r="F5" s="4"/>
      <c r="G5" s="4" t="s">
        <v>32</v>
      </c>
      <c r="H5" s="4" t="s">
        <v>33</v>
      </c>
      <c r="I5" s="4" t="s">
        <v>34</v>
      </c>
      <c r="J5" s="4" t="s">
        <v>34</v>
      </c>
      <c r="K5" s="4" t="s">
        <v>35</v>
      </c>
    </row>
    <row r="6" spans="1:11" x14ac:dyDescent="0.2">
      <c r="A6" s="4" t="s">
        <v>36</v>
      </c>
      <c r="B6" s="4"/>
      <c r="C6" s="4"/>
      <c r="D6" s="4" t="s">
        <v>37</v>
      </c>
      <c r="E6" s="5" t="s">
        <v>16</v>
      </c>
      <c r="F6" s="4"/>
      <c r="G6" s="4" t="s">
        <v>38</v>
      </c>
      <c r="H6" s="4" t="s">
        <v>39</v>
      </c>
      <c r="I6" s="4"/>
      <c r="J6" s="4"/>
      <c r="K6" s="4" t="s">
        <v>40</v>
      </c>
    </row>
    <row r="7" spans="1:11" x14ac:dyDescent="0.2">
      <c r="A7" s="4" t="s">
        <v>41</v>
      </c>
      <c r="B7" s="4"/>
      <c r="C7" s="4"/>
      <c r="D7" s="4" t="s">
        <v>42</v>
      </c>
      <c r="E7" s="4"/>
      <c r="F7" s="4"/>
      <c r="G7" s="4" t="s">
        <v>43</v>
      </c>
      <c r="H7" s="4"/>
      <c r="I7" s="4"/>
      <c r="J7" s="4"/>
    </row>
    <row r="8" spans="1:11" x14ac:dyDescent="0.2">
      <c r="A8" s="4" t="s">
        <v>44</v>
      </c>
      <c r="B8" s="4"/>
      <c r="C8" s="4"/>
      <c r="D8" s="4" t="s">
        <v>45</v>
      </c>
      <c r="E8" s="4"/>
      <c r="F8" s="4"/>
      <c r="G8" s="4" t="s">
        <v>46</v>
      </c>
      <c r="H8" s="4"/>
      <c r="I8" s="4"/>
      <c r="J8" s="4"/>
    </row>
    <row r="9" spans="1:11" x14ac:dyDescent="0.2">
      <c r="A9" s="4" t="s">
        <v>47</v>
      </c>
      <c r="B9" s="4"/>
      <c r="C9" s="4"/>
      <c r="D9" s="4" t="s">
        <v>48</v>
      </c>
      <c r="E9" s="4"/>
      <c r="F9" s="4"/>
      <c r="G9" s="4" t="s">
        <v>49</v>
      </c>
      <c r="H9" s="4"/>
      <c r="I9" s="4"/>
      <c r="J9" s="4"/>
    </row>
    <row r="10" spans="1:11" x14ac:dyDescent="0.2">
      <c r="B10" s="4"/>
      <c r="C10" s="4"/>
      <c r="D10" s="6" t="s">
        <v>22</v>
      </c>
      <c r="E10" s="4"/>
      <c r="F10" s="4"/>
      <c r="G10" s="4"/>
      <c r="H10" s="4"/>
      <c r="I10" s="4"/>
      <c r="J10" s="4"/>
    </row>
    <row r="11" spans="1:11" x14ac:dyDescent="0.2">
      <c r="B11" s="4"/>
      <c r="C11" s="4"/>
      <c r="D11" s="4" t="s">
        <v>50</v>
      </c>
      <c r="E11" s="4"/>
      <c r="G11" s="4"/>
      <c r="H11" s="4"/>
      <c r="I11" s="4"/>
    </row>
    <row r="12" spans="1:11" x14ac:dyDescent="0.2">
      <c r="B12" s="4"/>
      <c r="C12" s="4"/>
      <c r="D12" s="4"/>
      <c r="E12" s="4"/>
      <c r="G12" s="4"/>
      <c r="H12" s="4"/>
      <c r="I12" s="4"/>
    </row>
    <row r="19" spans="1:12" x14ac:dyDescent="0.2">
      <c r="A19" s="1" t="s">
        <v>0</v>
      </c>
      <c r="B19" s="1" t="s">
        <v>1</v>
      </c>
      <c r="C19" s="1" t="s">
        <v>2</v>
      </c>
      <c r="D19" s="1" t="s">
        <v>3</v>
      </c>
      <c r="E19" s="1" t="s">
        <v>4</v>
      </c>
      <c r="F19" s="1" t="s">
        <v>5</v>
      </c>
      <c r="G19" s="1" t="s">
        <v>6</v>
      </c>
      <c r="H19" s="1" t="s">
        <v>7</v>
      </c>
      <c r="I19" s="1" t="s">
        <v>8</v>
      </c>
      <c r="J19" s="1" t="s">
        <v>9</v>
      </c>
      <c r="K19" s="1" t="s">
        <v>10</v>
      </c>
      <c r="L19" s="7" t="s">
        <v>22</v>
      </c>
    </row>
    <row r="20" spans="1:12" x14ac:dyDescent="0.2">
      <c r="A20" s="2" t="s">
        <v>11</v>
      </c>
      <c r="B20" s="2" t="s">
        <v>12</v>
      </c>
      <c r="C20" s="2" t="s">
        <v>13</v>
      </c>
      <c r="D20" s="2" t="s">
        <v>14</v>
      </c>
      <c r="E20" s="2" t="s">
        <v>15</v>
      </c>
      <c r="F20" s="2" t="s">
        <v>16</v>
      </c>
      <c r="G20" s="2" t="s">
        <v>15</v>
      </c>
      <c r="H20" s="2" t="s">
        <v>17</v>
      </c>
      <c r="I20" s="3" t="s">
        <v>17</v>
      </c>
      <c r="J20" s="3" t="s">
        <v>11</v>
      </c>
      <c r="K20" s="3" t="s">
        <v>11</v>
      </c>
      <c r="L20" t="s">
        <v>51</v>
      </c>
    </row>
    <row r="21" spans="1:12" x14ac:dyDescent="0.2">
      <c r="A21" s="4" t="s">
        <v>18</v>
      </c>
      <c r="B21" s="3" t="s">
        <v>11</v>
      </c>
      <c r="C21" s="5" t="s">
        <v>14</v>
      </c>
      <c r="D21" s="4" t="s">
        <v>19</v>
      </c>
      <c r="E21" s="4" t="s">
        <v>20</v>
      </c>
      <c r="F21" s="4" t="s">
        <v>19</v>
      </c>
      <c r="G21" s="2" t="s">
        <v>21</v>
      </c>
      <c r="H21" s="4" t="s">
        <v>100</v>
      </c>
      <c r="I21" s="3" t="s">
        <v>21</v>
      </c>
      <c r="J21" s="3" t="s">
        <v>12</v>
      </c>
      <c r="K21" s="3" t="s">
        <v>13</v>
      </c>
      <c r="L21" s="6" t="s">
        <v>52</v>
      </c>
    </row>
    <row r="22" spans="1:12" x14ac:dyDescent="0.2">
      <c r="A22" s="6" t="s">
        <v>51</v>
      </c>
      <c r="B22" s="4" t="s">
        <v>23</v>
      </c>
      <c r="C22" s="4"/>
      <c r="D22" s="4" t="s">
        <v>24</v>
      </c>
      <c r="E22" s="4" t="s">
        <v>25</v>
      </c>
      <c r="F22" s="4"/>
      <c r="G22" s="4" t="s">
        <v>26</v>
      </c>
      <c r="H22" s="4" t="s">
        <v>27</v>
      </c>
      <c r="I22" s="3" t="s">
        <v>15</v>
      </c>
      <c r="J22" s="3" t="s">
        <v>15</v>
      </c>
      <c r="K22" s="4" t="s">
        <v>28</v>
      </c>
      <c r="L22" s="6" t="s">
        <v>53</v>
      </c>
    </row>
    <row r="23" spans="1:12" x14ac:dyDescent="0.2">
      <c r="A23" s="4" t="s">
        <v>29</v>
      </c>
      <c r="B23" s="4" t="s">
        <v>13</v>
      </c>
      <c r="C23" s="4"/>
      <c r="D23" s="4" t="s">
        <v>30</v>
      </c>
      <c r="E23" s="4" t="s">
        <v>31</v>
      </c>
      <c r="F23" s="4"/>
      <c r="G23" s="4" t="s">
        <v>32</v>
      </c>
      <c r="H23" s="4" t="s">
        <v>33</v>
      </c>
      <c r="I23" s="4" t="s">
        <v>34</v>
      </c>
      <c r="J23" s="4" t="s">
        <v>34</v>
      </c>
      <c r="K23" s="4" t="s">
        <v>35</v>
      </c>
      <c r="L23" s="6" t="s">
        <v>54</v>
      </c>
    </row>
    <row r="24" spans="1:12" x14ac:dyDescent="0.2">
      <c r="A24" s="4" t="s">
        <v>36</v>
      </c>
      <c r="B24" s="4"/>
      <c r="C24" s="4"/>
      <c r="D24" s="4" t="s">
        <v>37</v>
      </c>
      <c r="E24" s="5" t="s">
        <v>16</v>
      </c>
      <c r="F24" s="4"/>
      <c r="G24" s="4" t="s">
        <v>38</v>
      </c>
      <c r="H24" s="4" t="s">
        <v>39</v>
      </c>
      <c r="I24" s="4"/>
      <c r="J24" s="4"/>
      <c r="K24" s="4" t="s">
        <v>40</v>
      </c>
      <c r="L24" s="6" t="s">
        <v>55</v>
      </c>
    </row>
    <row r="25" spans="1:12" x14ac:dyDescent="0.2">
      <c r="A25" s="4" t="s">
        <v>41</v>
      </c>
      <c r="B25" s="4"/>
      <c r="C25" s="4"/>
      <c r="D25" s="4" t="s">
        <v>42</v>
      </c>
      <c r="E25" s="4"/>
      <c r="F25" s="4"/>
      <c r="G25" s="4" t="s">
        <v>43</v>
      </c>
      <c r="H25" s="4"/>
      <c r="I25" s="4"/>
      <c r="J25" s="4"/>
    </row>
    <row r="26" spans="1:12" x14ac:dyDescent="0.2">
      <c r="A26" s="4" t="s">
        <v>44</v>
      </c>
      <c r="B26" s="4"/>
      <c r="C26" s="4"/>
      <c r="D26" s="4" t="s">
        <v>45</v>
      </c>
      <c r="E26" s="4"/>
      <c r="F26" s="8"/>
      <c r="G26" s="4" t="s">
        <v>46</v>
      </c>
      <c r="H26" s="4"/>
      <c r="I26" s="4"/>
      <c r="J26" s="4"/>
    </row>
    <row r="27" spans="1:12" x14ac:dyDescent="0.2">
      <c r="A27" s="4" t="s">
        <v>47</v>
      </c>
      <c r="B27" s="4"/>
      <c r="C27" s="4"/>
      <c r="D27" s="4" t="s">
        <v>48</v>
      </c>
      <c r="E27" s="4"/>
      <c r="F27" s="4"/>
      <c r="G27" s="4" t="s">
        <v>49</v>
      </c>
      <c r="H27" s="4"/>
      <c r="I27" s="4"/>
      <c r="J27" s="4"/>
    </row>
    <row r="28" spans="1:12" x14ac:dyDescent="0.2">
      <c r="B28" s="4"/>
      <c r="C28" s="4"/>
      <c r="D28" s="6" t="s">
        <v>51</v>
      </c>
      <c r="E28" s="4"/>
      <c r="F28" s="4"/>
      <c r="G28" s="4"/>
      <c r="H28" s="4"/>
      <c r="I28" s="4"/>
      <c r="J28" s="4"/>
    </row>
    <row r="29" spans="1:12" x14ac:dyDescent="0.2">
      <c r="B29" s="4"/>
      <c r="C29" s="4"/>
      <c r="D29" s="4" t="s">
        <v>50</v>
      </c>
      <c r="E29" s="4"/>
      <c r="G29" s="4"/>
      <c r="H29" s="9"/>
      <c r="I29" s="4"/>
    </row>
    <row r="30" spans="1:12" x14ac:dyDescent="0.2">
      <c r="B30" s="4"/>
      <c r="C30" s="4"/>
      <c r="D30" s="10"/>
      <c r="E30" s="4"/>
      <c r="G30" s="4"/>
      <c r="H30" s="4"/>
      <c r="I30" s="4"/>
    </row>
    <row r="31" spans="1:12" x14ac:dyDescent="0.2">
      <c r="D31" s="10"/>
    </row>
    <row r="32" spans="1:12" x14ac:dyDescent="0.2">
      <c r="D32" s="4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&amp;C&amp;12&amp;A</oddHeader>
    <oddFooter>&amp;C&amp;12Page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5"/>
  <sheetViews>
    <sheetView topLeftCell="A58" zoomScaleNormal="100" workbookViewId="0">
      <selection activeCell="I97" sqref="I97"/>
    </sheetView>
  </sheetViews>
  <sheetFormatPr baseColWidth="10" defaultColWidth="12.7109375" defaultRowHeight="12.75" x14ac:dyDescent="0.2"/>
  <cols>
    <col min="1" max="1" width="17.140625" style="4" customWidth="1"/>
    <col min="2" max="2" width="17.28515625" style="4" customWidth="1"/>
    <col min="3" max="3" width="16.7109375" style="4" customWidth="1"/>
    <col min="4" max="4" width="18.85546875" style="4" customWidth="1"/>
    <col min="5" max="5" width="17.85546875" style="4" customWidth="1"/>
    <col min="7" max="7" width="20" style="4" customWidth="1"/>
    <col min="8" max="8" width="13.7109375" style="4" customWidth="1"/>
    <col min="9" max="9" width="20" style="4" customWidth="1"/>
    <col min="12" max="12" width="12.7109375" style="9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1" t="s">
        <v>22</v>
      </c>
    </row>
    <row r="2" spans="1:12" x14ac:dyDescent="0.2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15</v>
      </c>
      <c r="H2" s="2" t="s">
        <v>17</v>
      </c>
      <c r="I2" s="3" t="s">
        <v>17</v>
      </c>
      <c r="J2" s="3" t="s">
        <v>11</v>
      </c>
      <c r="K2" s="3" t="s">
        <v>11</v>
      </c>
      <c r="L2" s="12" t="s">
        <v>51</v>
      </c>
    </row>
    <row r="3" spans="1:12" x14ac:dyDescent="0.2">
      <c r="A3" s="4" t="s">
        <v>18</v>
      </c>
      <c r="B3" s="3" t="s">
        <v>11</v>
      </c>
      <c r="C3" s="5" t="s">
        <v>14</v>
      </c>
      <c r="D3" s="4" t="s">
        <v>19</v>
      </c>
      <c r="E3" s="4" t="s">
        <v>20</v>
      </c>
      <c r="F3" s="4" t="s">
        <v>19</v>
      </c>
      <c r="G3" s="2" t="s">
        <v>21</v>
      </c>
      <c r="H3" s="4" t="s">
        <v>100</v>
      </c>
      <c r="I3" s="3" t="s">
        <v>21</v>
      </c>
      <c r="J3" s="3" t="s">
        <v>12</v>
      </c>
      <c r="K3" s="3" t="s">
        <v>13</v>
      </c>
      <c r="L3" s="10" t="s">
        <v>52</v>
      </c>
    </row>
    <row r="4" spans="1:12" x14ac:dyDescent="0.2">
      <c r="A4" s="5" t="s">
        <v>51</v>
      </c>
      <c r="B4" s="4" t="s">
        <v>23</v>
      </c>
      <c r="D4" s="4" t="s">
        <v>24</v>
      </c>
      <c r="E4" s="4" t="s">
        <v>25</v>
      </c>
      <c r="F4" s="4"/>
      <c r="G4" s="4" t="s">
        <v>26</v>
      </c>
      <c r="H4" s="4" t="s">
        <v>27</v>
      </c>
      <c r="I4" s="3" t="s">
        <v>15</v>
      </c>
      <c r="J4" s="3" t="s">
        <v>15</v>
      </c>
      <c r="K4" s="4" t="s">
        <v>28</v>
      </c>
      <c r="L4" s="10" t="s">
        <v>53</v>
      </c>
    </row>
    <row r="5" spans="1:12" x14ac:dyDescent="0.2">
      <c r="A5" s="4" t="s">
        <v>29</v>
      </c>
      <c r="B5" s="5" t="s">
        <v>13</v>
      </c>
      <c r="D5" s="4" t="s">
        <v>30</v>
      </c>
      <c r="E5" s="4" t="s">
        <v>31</v>
      </c>
      <c r="F5" s="4"/>
      <c r="G5" s="4" t="s">
        <v>32</v>
      </c>
      <c r="H5" s="4" t="s">
        <v>58</v>
      </c>
      <c r="I5" s="4" t="s">
        <v>34</v>
      </c>
      <c r="J5" s="4" t="s">
        <v>34</v>
      </c>
      <c r="K5" s="4" t="s">
        <v>35</v>
      </c>
      <c r="L5" s="10" t="s">
        <v>54</v>
      </c>
    </row>
    <row r="6" spans="1:12" x14ac:dyDescent="0.2">
      <c r="A6" s="4" t="s">
        <v>36</v>
      </c>
      <c r="D6" s="4" t="s">
        <v>37</v>
      </c>
      <c r="E6" s="5" t="s">
        <v>16</v>
      </c>
      <c r="F6" s="4"/>
      <c r="G6" s="4" t="s">
        <v>38</v>
      </c>
      <c r="H6" s="4" t="s">
        <v>39</v>
      </c>
      <c r="J6" s="4"/>
      <c r="K6" s="4" t="s">
        <v>40</v>
      </c>
      <c r="L6" s="10" t="s">
        <v>55</v>
      </c>
    </row>
    <row r="7" spans="1:12" x14ac:dyDescent="0.2">
      <c r="A7" s="4" t="s">
        <v>41</v>
      </c>
      <c r="D7" s="4" t="s">
        <v>42</v>
      </c>
      <c r="F7" s="4"/>
      <c r="G7" s="4" t="s">
        <v>43</v>
      </c>
      <c r="J7" s="4"/>
    </row>
    <row r="8" spans="1:12" x14ac:dyDescent="0.2">
      <c r="A8" s="4" t="s">
        <v>44</v>
      </c>
      <c r="D8" s="4" t="s">
        <v>45</v>
      </c>
      <c r="F8" s="4"/>
      <c r="G8" s="4" t="s">
        <v>46</v>
      </c>
      <c r="J8" s="4"/>
    </row>
    <row r="9" spans="1:12" x14ac:dyDescent="0.2">
      <c r="A9" s="4" t="s">
        <v>59</v>
      </c>
      <c r="D9" s="4" t="s">
        <v>48</v>
      </c>
      <c r="F9" s="4" t="s">
        <v>49</v>
      </c>
      <c r="G9" s="4" t="s">
        <v>49</v>
      </c>
      <c r="J9" s="4"/>
    </row>
    <row r="10" spans="1:12" x14ac:dyDescent="0.2">
      <c r="A10"/>
      <c r="D10" s="5" t="s">
        <v>51</v>
      </c>
      <c r="F10" s="4"/>
      <c r="J10" s="4"/>
    </row>
    <row r="11" spans="1:12" x14ac:dyDescent="0.2">
      <c r="A11"/>
      <c r="D11" s="4" t="s">
        <v>50</v>
      </c>
    </row>
    <row r="12" spans="1:12" x14ac:dyDescent="0.2">
      <c r="A12"/>
    </row>
    <row r="14" spans="1:12" x14ac:dyDescent="0.2">
      <c r="D14"/>
    </row>
    <row r="17" spans="1:14" ht="30" x14ac:dyDescent="0.25">
      <c r="A17" s="13" t="s">
        <v>60</v>
      </c>
      <c r="B17" s="13" t="s">
        <v>61</v>
      </c>
      <c r="C17" s="13" t="s">
        <v>62</v>
      </c>
      <c r="D17" s="14" t="s">
        <v>63</v>
      </c>
      <c r="E17" s="15" t="s">
        <v>64</v>
      </c>
      <c r="F17" s="13" t="s">
        <v>65</v>
      </c>
      <c r="G17" s="13" t="s">
        <v>66</v>
      </c>
      <c r="H17" s="13" t="s">
        <v>67</v>
      </c>
      <c r="I17" s="13" t="s">
        <v>68</v>
      </c>
      <c r="J17" s="13" t="s">
        <v>69</v>
      </c>
      <c r="K17" s="13" t="s">
        <v>70</v>
      </c>
      <c r="L17" s="13" t="s">
        <v>71</v>
      </c>
      <c r="M17" s="13" t="s">
        <v>72</v>
      </c>
      <c r="N17" s="13" t="s">
        <v>73</v>
      </c>
    </row>
    <row r="18" spans="1:14" ht="15" x14ac:dyDescent="0.25">
      <c r="A18" s="16" t="s">
        <v>0</v>
      </c>
      <c r="B18" s="17" t="s">
        <v>11</v>
      </c>
      <c r="C18" s="18" t="s">
        <v>74</v>
      </c>
      <c r="E18" s="19">
        <v>4</v>
      </c>
      <c r="F18" s="20">
        <v>1</v>
      </c>
      <c r="G18" s="20"/>
      <c r="H18" s="20">
        <v>1</v>
      </c>
      <c r="I18" s="21"/>
      <c r="J18" s="21"/>
      <c r="K18" s="21"/>
      <c r="L18" s="20">
        <v>1</v>
      </c>
      <c r="M18" s="20">
        <v>1</v>
      </c>
      <c r="N18" s="21"/>
    </row>
    <row r="19" spans="1:14" ht="15" x14ac:dyDescent="0.25">
      <c r="A19" s="16" t="s">
        <v>0</v>
      </c>
      <c r="B19" s="4" t="s">
        <v>18</v>
      </c>
      <c r="C19" s="18" t="s">
        <v>75</v>
      </c>
      <c r="D19" s="22">
        <v>50</v>
      </c>
      <c r="E19" s="19">
        <v>102</v>
      </c>
      <c r="F19" s="20"/>
      <c r="G19" s="20"/>
      <c r="H19" s="20"/>
      <c r="I19" s="21"/>
      <c r="J19" s="21"/>
      <c r="K19" s="21"/>
      <c r="L19" s="20">
        <v>1</v>
      </c>
      <c r="M19" s="20">
        <v>1</v>
      </c>
      <c r="N19" s="21"/>
    </row>
    <row r="20" spans="1:14" ht="15" x14ac:dyDescent="0.25">
      <c r="A20" s="16" t="s">
        <v>0</v>
      </c>
      <c r="B20" s="5" t="s">
        <v>51</v>
      </c>
      <c r="C20" s="18" t="s">
        <v>74</v>
      </c>
      <c r="D20" s="22"/>
      <c r="E20" s="19">
        <v>4</v>
      </c>
      <c r="F20" s="20"/>
      <c r="G20" s="20">
        <v>1</v>
      </c>
      <c r="H20" s="20">
        <v>1</v>
      </c>
      <c r="I20" s="21"/>
      <c r="J20" s="21"/>
      <c r="K20" s="21"/>
      <c r="L20" s="20"/>
      <c r="M20" s="20"/>
      <c r="N20" s="21"/>
    </row>
    <row r="21" spans="1:14" ht="15" x14ac:dyDescent="0.25">
      <c r="A21" s="16" t="s">
        <v>0</v>
      </c>
      <c r="B21" s="4" t="s">
        <v>29</v>
      </c>
      <c r="C21" s="18" t="s">
        <v>76</v>
      </c>
      <c r="D21" s="22">
        <v>7.2</v>
      </c>
      <c r="E21" s="19">
        <v>5</v>
      </c>
      <c r="F21" s="20"/>
      <c r="G21" s="20"/>
      <c r="H21" s="20"/>
      <c r="I21" s="21"/>
      <c r="J21" s="21"/>
      <c r="K21" s="21"/>
      <c r="L21" s="20"/>
      <c r="M21" s="20">
        <v>1</v>
      </c>
      <c r="N21" s="21"/>
    </row>
    <row r="22" spans="1:14" ht="15" x14ac:dyDescent="0.25">
      <c r="A22" s="16" t="s">
        <v>0</v>
      </c>
      <c r="B22" s="4" t="s">
        <v>36</v>
      </c>
      <c r="C22" s="18" t="s">
        <v>76</v>
      </c>
      <c r="D22" s="22">
        <v>7.2</v>
      </c>
      <c r="E22" s="19">
        <v>5</v>
      </c>
      <c r="F22" s="20"/>
      <c r="G22" s="20"/>
      <c r="H22" s="20"/>
      <c r="I22" s="21"/>
      <c r="J22" s="21"/>
      <c r="K22" s="21"/>
      <c r="L22" s="20"/>
      <c r="M22" s="20">
        <v>1</v>
      </c>
      <c r="N22" s="21"/>
    </row>
    <row r="23" spans="1:14" ht="15" x14ac:dyDescent="0.25">
      <c r="A23" s="16" t="s">
        <v>0</v>
      </c>
      <c r="B23" s="4" t="s">
        <v>41</v>
      </c>
      <c r="C23" s="18" t="s">
        <v>76</v>
      </c>
      <c r="D23" s="22">
        <v>7.2</v>
      </c>
      <c r="E23" s="19">
        <v>5</v>
      </c>
      <c r="G23" s="20"/>
      <c r="H23" s="20"/>
      <c r="I23" s="21"/>
      <c r="J23" s="21"/>
      <c r="K23" s="21"/>
      <c r="L23" s="20"/>
      <c r="M23" s="20">
        <v>1</v>
      </c>
      <c r="N23" s="21"/>
    </row>
    <row r="24" spans="1:14" ht="15" x14ac:dyDescent="0.25">
      <c r="A24" s="16" t="s">
        <v>0</v>
      </c>
      <c r="B24" s="4" t="s">
        <v>44</v>
      </c>
      <c r="C24" s="18" t="s">
        <v>76</v>
      </c>
      <c r="D24" s="22">
        <v>7.2</v>
      </c>
      <c r="E24" s="19">
        <v>5</v>
      </c>
      <c r="F24" s="20"/>
      <c r="G24" s="20"/>
      <c r="H24" s="20"/>
      <c r="I24" s="21"/>
      <c r="J24" s="21"/>
      <c r="K24" s="21"/>
      <c r="L24" s="20"/>
      <c r="M24" s="20">
        <v>1</v>
      </c>
      <c r="N24" s="21"/>
    </row>
    <row r="25" spans="1:14" ht="15" x14ac:dyDescent="0.25">
      <c r="A25" s="16" t="s">
        <v>0</v>
      </c>
      <c r="B25" s="4" t="s">
        <v>59</v>
      </c>
      <c r="C25" s="18" t="s">
        <v>76</v>
      </c>
      <c r="D25" s="4">
        <v>7.2</v>
      </c>
      <c r="E25" s="19">
        <v>5</v>
      </c>
      <c r="F25" s="20"/>
      <c r="G25" s="20"/>
      <c r="H25" s="20"/>
      <c r="I25" s="21"/>
      <c r="J25" s="21"/>
      <c r="K25" s="21"/>
      <c r="L25" s="20"/>
      <c r="M25" s="20">
        <v>1</v>
      </c>
      <c r="N25" s="21"/>
    </row>
    <row r="26" spans="1:14" ht="15" x14ac:dyDescent="0.25">
      <c r="A26" s="23" t="s">
        <v>1</v>
      </c>
      <c r="B26" s="2" t="s">
        <v>12</v>
      </c>
      <c r="C26" s="18" t="s">
        <v>77</v>
      </c>
      <c r="E26" s="19">
        <v>8</v>
      </c>
      <c r="F26" s="20" t="s">
        <v>49</v>
      </c>
      <c r="G26" s="20"/>
      <c r="H26" s="20"/>
      <c r="I26" s="21"/>
      <c r="J26" s="21"/>
      <c r="K26" s="21"/>
      <c r="L26" s="20"/>
      <c r="M26" s="20">
        <v>1</v>
      </c>
      <c r="N26" s="21"/>
    </row>
    <row r="27" spans="1:14" ht="15" x14ac:dyDescent="0.25">
      <c r="A27" s="23" t="s">
        <v>1</v>
      </c>
      <c r="B27" s="3" t="s">
        <v>11</v>
      </c>
      <c r="C27" s="18" t="s">
        <v>74</v>
      </c>
      <c r="E27" s="24">
        <v>4</v>
      </c>
      <c r="F27" s="20">
        <v>1</v>
      </c>
      <c r="G27" s="20">
        <v>1</v>
      </c>
      <c r="H27" s="20">
        <v>1</v>
      </c>
      <c r="I27" s="21"/>
      <c r="J27" s="21"/>
      <c r="K27" s="21"/>
      <c r="L27" s="20"/>
      <c r="M27" s="20">
        <v>1</v>
      </c>
      <c r="N27" s="21"/>
    </row>
    <row r="28" spans="1:14" ht="15" x14ac:dyDescent="0.25">
      <c r="A28" s="23" t="s">
        <v>1</v>
      </c>
      <c r="B28" s="4" t="s">
        <v>23</v>
      </c>
      <c r="C28" s="18" t="s">
        <v>56</v>
      </c>
      <c r="D28" s="4">
        <v>1</v>
      </c>
      <c r="E28" s="19">
        <v>1</v>
      </c>
      <c r="F28" s="20"/>
      <c r="G28" s="20"/>
      <c r="H28" s="20"/>
      <c r="I28" s="21"/>
      <c r="J28" s="21"/>
      <c r="K28" s="21"/>
      <c r="L28" s="20"/>
      <c r="M28" s="20">
        <v>1</v>
      </c>
      <c r="N28" s="21"/>
    </row>
    <row r="29" spans="1:14" ht="15" x14ac:dyDescent="0.25">
      <c r="A29" s="23" t="s">
        <v>1</v>
      </c>
      <c r="B29" s="5" t="s">
        <v>13</v>
      </c>
      <c r="C29" s="18" t="s">
        <v>74</v>
      </c>
      <c r="E29" s="25">
        <v>4</v>
      </c>
      <c r="G29" s="20">
        <v>1</v>
      </c>
      <c r="H29" s="9">
        <v>1</v>
      </c>
      <c r="I29" s="21"/>
      <c r="J29" s="21"/>
      <c r="K29" s="21"/>
      <c r="L29" s="20"/>
      <c r="M29" s="20">
        <v>1</v>
      </c>
      <c r="N29" s="21"/>
    </row>
    <row r="30" spans="1:14" ht="15" x14ac:dyDescent="0.25">
      <c r="A30" s="23" t="s">
        <v>2</v>
      </c>
      <c r="B30" s="2" t="s">
        <v>13</v>
      </c>
      <c r="C30" s="18" t="s">
        <v>74</v>
      </c>
      <c r="E30" s="24">
        <v>4</v>
      </c>
      <c r="F30" s="20">
        <v>1</v>
      </c>
      <c r="G30" s="20"/>
      <c r="H30" s="20">
        <v>1</v>
      </c>
      <c r="I30" s="21"/>
      <c r="J30" s="21"/>
      <c r="K30" s="21"/>
      <c r="L30" s="20">
        <v>1</v>
      </c>
      <c r="M30" s="20">
        <v>1</v>
      </c>
      <c r="N30" s="21"/>
    </row>
    <row r="31" spans="1:14" ht="15" x14ac:dyDescent="0.25">
      <c r="A31" s="23" t="s">
        <v>2</v>
      </c>
      <c r="B31" s="5" t="s">
        <v>14</v>
      </c>
      <c r="C31" s="18" t="s">
        <v>74</v>
      </c>
      <c r="E31" s="25">
        <v>4</v>
      </c>
      <c r="G31" s="20">
        <v>1</v>
      </c>
      <c r="I31" s="21"/>
      <c r="J31" s="21"/>
      <c r="K31" s="21"/>
      <c r="L31" s="20">
        <v>1</v>
      </c>
      <c r="M31" s="20">
        <v>1</v>
      </c>
      <c r="N31" s="21"/>
    </row>
    <row r="32" spans="1:14" ht="15" x14ac:dyDescent="0.25">
      <c r="A32" s="23" t="s">
        <v>3</v>
      </c>
      <c r="B32" s="2" t="s">
        <v>14</v>
      </c>
      <c r="C32" s="18" t="s">
        <v>74</v>
      </c>
      <c r="E32" s="24">
        <v>4</v>
      </c>
      <c r="F32" s="20">
        <v>1</v>
      </c>
      <c r="G32" s="20"/>
      <c r="H32" s="20">
        <v>1</v>
      </c>
      <c r="I32" s="21"/>
      <c r="J32" s="21"/>
      <c r="K32" s="21"/>
      <c r="L32" s="9">
        <v>1</v>
      </c>
      <c r="M32" s="20">
        <v>1</v>
      </c>
      <c r="N32" s="21"/>
    </row>
    <row r="33" spans="1:14" ht="15" x14ac:dyDescent="0.25">
      <c r="A33" s="23" t="s">
        <v>3</v>
      </c>
      <c r="B33" s="4" t="s">
        <v>19</v>
      </c>
      <c r="C33" s="18" t="s">
        <v>75</v>
      </c>
      <c r="D33" s="22">
        <v>50</v>
      </c>
      <c r="E33" s="19">
        <f>2*D33+2</f>
        <v>102</v>
      </c>
      <c r="F33" s="20"/>
      <c r="G33" s="20"/>
      <c r="H33" s="20"/>
      <c r="I33" s="21"/>
      <c r="J33" s="21"/>
      <c r="K33" s="21"/>
      <c r="M33" s="20">
        <v>1</v>
      </c>
      <c r="N33" s="21"/>
    </row>
    <row r="34" spans="1:14" ht="15" x14ac:dyDescent="0.25">
      <c r="A34" s="23" t="s">
        <v>3</v>
      </c>
      <c r="B34" s="4" t="s">
        <v>24</v>
      </c>
      <c r="C34" s="18" t="s">
        <v>56</v>
      </c>
      <c r="D34" s="22">
        <v>1</v>
      </c>
      <c r="E34" s="19">
        <v>1</v>
      </c>
      <c r="F34" s="20"/>
      <c r="G34" s="20"/>
      <c r="H34" s="20"/>
      <c r="I34" s="21"/>
      <c r="J34" s="21"/>
      <c r="K34" s="21"/>
      <c r="M34" s="20"/>
      <c r="N34" s="21"/>
    </row>
    <row r="35" spans="1:14" ht="15" x14ac:dyDescent="0.25">
      <c r="A35" s="23" t="s">
        <v>3</v>
      </c>
      <c r="B35" s="4" t="s">
        <v>78</v>
      </c>
      <c r="C35" s="18" t="s">
        <v>79</v>
      </c>
      <c r="D35" s="4">
        <v>4.2</v>
      </c>
      <c r="E35" s="19">
        <v>5</v>
      </c>
      <c r="F35" s="20"/>
      <c r="G35" s="20"/>
      <c r="H35" s="20"/>
      <c r="I35" s="21"/>
      <c r="J35" s="21"/>
      <c r="K35" s="21"/>
      <c r="M35" s="20">
        <v>1</v>
      </c>
      <c r="N35" s="21"/>
    </row>
    <row r="36" spans="1:14" ht="15" x14ac:dyDescent="0.25">
      <c r="A36" s="23" t="s">
        <v>3</v>
      </c>
      <c r="B36" s="4" t="s">
        <v>37</v>
      </c>
      <c r="C36" s="18" t="s">
        <v>77</v>
      </c>
      <c r="E36" s="19">
        <v>8</v>
      </c>
      <c r="F36" s="20"/>
      <c r="G36" s="20"/>
      <c r="H36" s="20"/>
      <c r="I36" s="21"/>
      <c r="J36" s="21"/>
      <c r="K36" s="21"/>
      <c r="M36" s="20"/>
      <c r="N36" s="21"/>
    </row>
    <row r="37" spans="1:14" ht="15" x14ac:dyDescent="0.25">
      <c r="A37" s="23" t="s">
        <v>3</v>
      </c>
      <c r="B37" s="4" t="s">
        <v>80</v>
      </c>
      <c r="C37" s="18" t="s">
        <v>79</v>
      </c>
      <c r="D37" s="4">
        <v>4.2</v>
      </c>
      <c r="E37" s="19">
        <v>5</v>
      </c>
      <c r="F37" s="20"/>
      <c r="G37" s="20"/>
      <c r="H37" s="20"/>
      <c r="I37" s="21"/>
      <c r="J37" s="21"/>
      <c r="K37" s="21"/>
      <c r="M37" s="20">
        <v>1</v>
      </c>
      <c r="N37" s="21"/>
    </row>
    <row r="38" spans="1:14" ht="15" x14ac:dyDescent="0.25">
      <c r="A38" s="23" t="s">
        <v>3</v>
      </c>
      <c r="B38" s="4" t="s">
        <v>45</v>
      </c>
      <c r="C38" s="18" t="s">
        <v>77</v>
      </c>
      <c r="E38" s="19">
        <v>8</v>
      </c>
      <c r="F38" s="20"/>
      <c r="G38" s="20"/>
      <c r="H38" s="20"/>
      <c r="I38" s="21"/>
      <c r="J38" s="21"/>
      <c r="K38" s="21"/>
      <c r="M38" s="20">
        <v>1</v>
      </c>
      <c r="N38" s="21"/>
    </row>
    <row r="39" spans="1:14" ht="15" x14ac:dyDescent="0.25">
      <c r="A39" s="23" t="s">
        <v>3</v>
      </c>
      <c r="B39" s="4" t="s">
        <v>48</v>
      </c>
      <c r="C39" s="18" t="s">
        <v>75</v>
      </c>
      <c r="D39" s="4">
        <v>12</v>
      </c>
      <c r="E39" s="19">
        <f>2*D39+2</f>
        <v>26</v>
      </c>
      <c r="F39" s="20"/>
      <c r="G39" s="20"/>
      <c r="H39" s="20"/>
      <c r="I39" s="21"/>
      <c r="J39" s="21"/>
      <c r="K39" s="21"/>
      <c r="M39" s="20">
        <v>1</v>
      </c>
      <c r="N39" s="21"/>
    </row>
    <row r="40" spans="1:14" ht="15" x14ac:dyDescent="0.25">
      <c r="A40" s="23" t="s">
        <v>3</v>
      </c>
      <c r="B40" s="5" t="s">
        <v>51</v>
      </c>
      <c r="C40" s="18" t="s">
        <v>74</v>
      </c>
      <c r="D40" s="22"/>
      <c r="E40" s="19">
        <v>4</v>
      </c>
      <c r="F40" s="20"/>
      <c r="G40" s="20">
        <v>1</v>
      </c>
      <c r="H40" s="20">
        <v>1</v>
      </c>
      <c r="I40" s="21"/>
      <c r="J40" s="21"/>
      <c r="K40" s="21"/>
      <c r="M40" s="20">
        <v>1</v>
      </c>
      <c r="N40" s="21"/>
    </row>
    <row r="41" spans="1:14" ht="15" x14ac:dyDescent="0.25">
      <c r="A41" s="23" t="s">
        <v>3</v>
      </c>
      <c r="B41" s="4" t="s">
        <v>50</v>
      </c>
      <c r="C41" s="18" t="s">
        <v>75</v>
      </c>
      <c r="D41" s="22">
        <v>20</v>
      </c>
      <c r="E41" s="19">
        <f>2*D41+2</f>
        <v>42</v>
      </c>
      <c r="F41" s="20"/>
      <c r="G41" s="20"/>
      <c r="H41" s="20"/>
      <c r="I41" s="21"/>
      <c r="J41" s="21"/>
      <c r="K41" s="21"/>
      <c r="M41" s="20">
        <v>1</v>
      </c>
      <c r="N41" s="21"/>
    </row>
    <row r="42" spans="1:14" ht="15" x14ac:dyDescent="0.25">
      <c r="A42" s="23" t="s">
        <v>4</v>
      </c>
      <c r="B42" s="2" t="s">
        <v>15</v>
      </c>
      <c r="C42" s="18" t="s">
        <v>74</v>
      </c>
      <c r="E42" s="24">
        <v>4</v>
      </c>
      <c r="F42" s="20">
        <v>1</v>
      </c>
      <c r="G42" s="20"/>
      <c r="H42" s="20">
        <v>1</v>
      </c>
      <c r="I42" s="21"/>
      <c r="J42" s="21"/>
      <c r="K42" s="21"/>
      <c r="L42" s="9">
        <v>1</v>
      </c>
      <c r="M42" s="20"/>
      <c r="N42" s="21"/>
    </row>
    <row r="43" spans="1:14" ht="15" x14ac:dyDescent="0.25">
      <c r="A43" s="23" t="s">
        <v>4</v>
      </c>
      <c r="B43" s="4" t="s">
        <v>20</v>
      </c>
      <c r="C43" s="18" t="s">
        <v>79</v>
      </c>
      <c r="D43" s="4">
        <v>4.2</v>
      </c>
      <c r="E43" s="19">
        <v>5</v>
      </c>
      <c r="F43" s="20"/>
      <c r="G43" s="20"/>
      <c r="H43" s="20"/>
      <c r="I43" s="21"/>
      <c r="J43" s="21"/>
      <c r="K43" s="21"/>
      <c r="M43" s="20">
        <v>1</v>
      </c>
      <c r="N43" s="21"/>
    </row>
    <row r="44" spans="1:14" ht="15" x14ac:dyDescent="0.25">
      <c r="A44" s="23" t="s">
        <v>4</v>
      </c>
      <c r="B44" s="4" t="s">
        <v>25</v>
      </c>
      <c r="C44" s="18" t="s">
        <v>79</v>
      </c>
      <c r="D44" s="22">
        <v>4.2</v>
      </c>
      <c r="E44" s="19">
        <v>5</v>
      </c>
      <c r="F44" s="20"/>
      <c r="G44" s="20"/>
      <c r="H44" s="20"/>
      <c r="I44" s="21"/>
      <c r="J44" s="21"/>
      <c r="K44" s="21"/>
      <c r="L44" s="20"/>
      <c r="M44" s="20">
        <v>1</v>
      </c>
      <c r="N44" s="21"/>
    </row>
    <row r="45" spans="1:14" ht="15" x14ac:dyDescent="0.25">
      <c r="A45" s="23" t="s">
        <v>4</v>
      </c>
      <c r="B45" s="4" t="s">
        <v>31</v>
      </c>
      <c r="C45" s="18" t="s">
        <v>75</v>
      </c>
      <c r="D45" s="22">
        <v>50</v>
      </c>
      <c r="E45" s="19">
        <f>2*D45+2</f>
        <v>102</v>
      </c>
      <c r="F45" s="20"/>
      <c r="G45" s="20"/>
      <c r="H45" s="20"/>
      <c r="I45" s="21"/>
      <c r="J45" s="21"/>
      <c r="K45" s="21"/>
      <c r="L45" s="20">
        <v>1</v>
      </c>
      <c r="M45" s="20">
        <v>1</v>
      </c>
      <c r="N45" s="21"/>
    </row>
    <row r="46" spans="1:14" ht="15" x14ac:dyDescent="0.25">
      <c r="A46" s="23" t="s">
        <v>4</v>
      </c>
      <c r="B46" s="5" t="s">
        <v>16</v>
      </c>
      <c r="C46" s="18" t="s">
        <v>74</v>
      </c>
      <c r="E46" s="25">
        <v>4</v>
      </c>
      <c r="F46" s="20"/>
      <c r="G46" s="20">
        <v>1</v>
      </c>
      <c r="H46" s="20">
        <v>1</v>
      </c>
      <c r="I46" s="21"/>
      <c r="J46" s="21"/>
      <c r="K46" s="21"/>
      <c r="L46" s="20"/>
      <c r="M46" s="20">
        <v>1</v>
      </c>
      <c r="N46" s="21"/>
    </row>
    <row r="47" spans="1:14" ht="15" x14ac:dyDescent="0.25">
      <c r="A47" s="23" t="s">
        <v>5</v>
      </c>
      <c r="B47" s="2" t="s">
        <v>16</v>
      </c>
      <c r="C47" s="18" t="s">
        <v>74</v>
      </c>
      <c r="E47" s="25">
        <v>4</v>
      </c>
      <c r="F47" s="20">
        <v>1</v>
      </c>
      <c r="G47" s="20"/>
      <c r="H47" s="20">
        <v>1</v>
      </c>
      <c r="I47" s="21"/>
      <c r="J47" s="21"/>
      <c r="K47" s="21"/>
      <c r="L47" s="20">
        <v>1</v>
      </c>
      <c r="M47" s="20">
        <v>1</v>
      </c>
      <c r="N47" s="21"/>
    </row>
    <row r="48" spans="1:14" ht="15" x14ac:dyDescent="0.25">
      <c r="A48" s="23" t="s">
        <v>5</v>
      </c>
      <c r="B48" s="4" t="s">
        <v>19</v>
      </c>
      <c r="C48" s="18" t="s">
        <v>75</v>
      </c>
      <c r="D48" s="22">
        <v>50</v>
      </c>
      <c r="E48" s="19">
        <f>2*D48+2</f>
        <v>102</v>
      </c>
      <c r="F48" s="20"/>
      <c r="G48" s="20"/>
      <c r="H48" s="20"/>
      <c r="I48" s="21"/>
      <c r="J48" s="21"/>
      <c r="K48" s="21"/>
      <c r="L48" s="20">
        <v>1</v>
      </c>
      <c r="M48" s="20">
        <v>1</v>
      </c>
      <c r="N48" s="21"/>
    </row>
    <row r="49" spans="1:14" ht="15" x14ac:dyDescent="0.25">
      <c r="A49" s="23" t="s">
        <v>6</v>
      </c>
      <c r="B49" s="2" t="s">
        <v>15</v>
      </c>
      <c r="C49" s="18" t="s">
        <v>74</v>
      </c>
      <c r="E49" s="25">
        <v>4</v>
      </c>
      <c r="F49" s="20">
        <v>1</v>
      </c>
      <c r="G49" s="20">
        <v>1</v>
      </c>
      <c r="H49" s="20">
        <v>1</v>
      </c>
      <c r="I49" s="21"/>
      <c r="J49" s="21"/>
      <c r="K49" s="21"/>
      <c r="L49" s="20"/>
      <c r="M49" s="20">
        <v>1</v>
      </c>
      <c r="N49" s="21"/>
    </row>
    <row r="50" spans="1:14" ht="15" x14ac:dyDescent="0.25">
      <c r="A50" s="23" t="s">
        <v>6</v>
      </c>
      <c r="B50" s="2" t="s">
        <v>21</v>
      </c>
      <c r="C50" s="18" t="s">
        <v>81</v>
      </c>
      <c r="D50" s="22"/>
      <c r="E50" s="19">
        <v>2</v>
      </c>
      <c r="F50" s="20">
        <v>1</v>
      </c>
      <c r="G50" s="20"/>
      <c r="H50" s="20">
        <v>1</v>
      </c>
      <c r="I50" s="21"/>
      <c r="J50" s="21"/>
      <c r="K50" s="21"/>
      <c r="L50" s="20"/>
      <c r="M50" s="20">
        <v>1</v>
      </c>
      <c r="N50" s="21"/>
    </row>
    <row r="51" spans="1:14" ht="15" x14ac:dyDescent="0.25">
      <c r="A51" s="23" t="s">
        <v>6</v>
      </c>
      <c r="B51" s="4" t="s">
        <v>26</v>
      </c>
      <c r="C51" s="18" t="s">
        <v>79</v>
      </c>
      <c r="D51" s="22">
        <v>4.2</v>
      </c>
      <c r="E51" s="19">
        <v>5</v>
      </c>
      <c r="F51" s="20"/>
      <c r="G51" s="20"/>
      <c r="H51" s="20"/>
      <c r="I51" s="21"/>
      <c r="J51" s="21"/>
      <c r="K51" s="21"/>
      <c r="L51" s="20"/>
      <c r="M51" s="20">
        <v>1</v>
      </c>
      <c r="N51" s="21"/>
    </row>
    <row r="52" spans="1:14" ht="15" x14ac:dyDescent="0.25">
      <c r="A52" s="23" t="s">
        <v>6</v>
      </c>
      <c r="B52" s="4" t="s">
        <v>32</v>
      </c>
      <c r="C52" s="18" t="s">
        <v>77</v>
      </c>
      <c r="D52" s="22"/>
      <c r="E52" s="19">
        <v>8</v>
      </c>
      <c r="F52" s="20"/>
      <c r="G52" s="20"/>
      <c r="H52" s="20"/>
      <c r="I52" s="21"/>
      <c r="J52" s="21"/>
      <c r="K52" s="21"/>
      <c r="L52" s="20"/>
      <c r="M52" s="20"/>
      <c r="N52" s="21"/>
    </row>
    <row r="53" spans="1:14" ht="15" x14ac:dyDescent="0.25">
      <c r="A53" s="23" t="s">
        <v>6</v>
      </c>
      <c r="B53" s="4" t="s">
        <v>38</v>
      </c>
      <c r="C53" s="18" t="s">
        <v>77</v>
      </c>
      <c r="D53" s="22"/>
      <c r="E53" s="19">
        <v>8</v>
      </c>
      <c r="F53" s="20"/>
      <c r="G53" s="20"/>
      <c r="H53" s="20"/>
      <c r="I53" s="21"/>
      <c r="J53" s="21"/>
      <c r="K53" s="21"/>
      <c r="L53" s="20"/>
      <c r="M53" s="20"/>
      <c r="N53" s="21"/>
    </row>
    <row r="54" spans="1:14" ht="15" x14ac:dyDescent="0.25">
      <c r="A54" s="23" t="s">
        <v>6</v>
      </c>
      <c r="B54" s="4" t="s">
        <v>43</v>
      </c>
      <c r="C54" s="18" t="s">
        <v>79</v>
      </c>
      <c r="D54" s="22">
        <v>4.2</v>
      </c>
      <c r="E54" s="19">
        <v>5</v>
      </c>
      <c r="F54" s="20"/>
      <c r="G54" s="20"/>
      <c r="H54" s="20"/>
      <c r="I54" s="21"/>
      <c r="J54" s="21"/>
      <c r="K54" s="21"/>
      <c r="L54" s="20"/>
      <c r="M54" s="20">
        <v>1</v>
      </c>
      <c r="N54" s="21"/>
    </row>
    <row r="55" spans="1:14" ht="15" x14ac:dyDescent="0.25">
      <c r="A55" s="23" t="s">
        <v>6</v>
      </c>
      <c r="B55" s="4" t="s">
        <v>46</v>
      </c>
      <c r="C55" s="18" t="s">
        <v>75</v>
      </c>
      <c r="D55" s="22">
        <v>50</v>
      </c>
      <c r="E55" s="19">
        <f>2*D55+2</f>
        <v>102</v>
      </c>
      <c r="F55" s="20"/>
      <c r="G55" s="20"/>
      <c r="H55" s="20"/>
      <c r="I55" s="21"/>
      <c r="J55" s="21"/>
      <c r="K55" s="21"/>
      <c r="L55" s="20"/>
      <c r="M55" s="20">
        <v>1</v>
      </c>
      <c r="N55" s="21"/>
    </row>
    <row r="56" spans="1:14" ht="15" x14ac:dyDescent="0.25">
      <c r="A56" s="23" t="s">
        <v>6</v>
      </c>
      <c r="B56" s="4" t="s">
        <v>49</v>
      </c>
      <c r="C56" s="18" t="s">
        <v>57</v>
      </c>
      <c r="D56" s="22"/>
      <c r="E56" s="19">
        <v>1</v>
      </c>
      <c r="F56" s="20"/>
      <c r="G56" s="20"/>
      <c r="H56" s="20"/>
      <c r="I56" s="21"/>
      <c r="J56" s="21"/>
      <c r="K56" s="21"/>
      <c r="L56" s="20"/>
      <c r="M56" s="20"/>
      <c r="N56" s="21"/>
    </row>
    <row r="57" spans="1:14" ht="15" x14ac:dyDescent="0.25">
      <c r="A57" s="23" t="s">
        <v>7</v>
      </c>
      <c r="B57" s="2" t="s">
        <v>17</v>
      </c>
      <c r="C57" s="18" t="s">
        <v>74</v>
      </c>
      <c r="E57" s="25">
        <v>4</v>
      </c>
      <c r="F57" s="20">
        <v>1</v>
      </c>
      <c r="G57" s="20"/>
      <c r="H57" s="20">
        <v>1</v>
      </c>
      <c r="I57" s="21"/>
      <c r="J57" s="21"/>
      <c r="K57" s="21"/>
      <c r="L57" s="20">
        <v>1</v>
      </c>
      <c r="M57" s="20">
        <v>1</v>
      </c>
      <c r="N57" s="21"/>
    </row>
    <row r="58" spans="1:14" ht="15" x14ac:dyDescent="0.25">
      <c r="A58" s="23" t="s">
        <v>7</v>
      </c>
      <c r="B58" s="4" t="s">
        <v>100</v>
      </c>
      <c r="C58" s="18" t="s">
        <v>79</v>
      </c>
      <c r="D58" s="22">
        <v>4.2</v>
      </c>
      <c r="E58" s="19">
        <v>5</v>
      </c>
      <c r="F58" s="20"/>
      <c r="G58" s="20"/>
      <c r="H58" s="20"/>
      <c r="I58" s="21"/>
      <c r="J58" s="21"/>
      <c r="K58" s="21"/>
      <c r="L58" s="20"/>
      <c r="M58" s="20">
        <v>1</v>
      </c>
      <c r="N58" s="21"/>
    </row>
    <row r="59" spans="1:14" ht="15" x14ac:dyDescent="0.25">
      <c r="A59" s="23" t="s">
        <v>7</v>
      </c>
      <c r="B59" s="4" t="s">
        <v>27</v>
      </c>
      <c r="C59" s="18" t="s">
        <v>82</v>
      </c>
      <c r="D59" s="22"/>
      <c r="E59" s="19"/>
      <c r="F59" s="20"/>
      <c r="G59" s="20"/>
      <c r="H59" s="20"/>
      <c r="I59" s="21"/>
      <c r="J59" s="21"/>
      <c r="K59" s="21"/>
      <c r="L59" s="20"/>
      <c r="M59" s="20"/>
      <c r="N59" s="21"/>
    </row>
    <row r="60" spans="1:14" ht="15" x14ac:dyDescent="0.25">
      <c r="A60" s="23" t="s">
        <v>7</v>
      </c>
      <c r="B60" s="4" t="s">
        <v>58</v>
      </c>
      <c r="C60" s="18" t="s">
        <v>76</v>
      </c>
      <c r="D60" s="22">
        <v>7.2</v>
      </c>
      <c r="E60" s="19">
        <v>5</v>
      </c>
      <c r="F60" s="20"/>
      <c r="G60" s="20"/>
      <c r="H60" s="20"/>
      <c r="I60" s="21"/>
      <c r="J60" s="21"/>
      <c r="K60" s="21"/>
      <c r="L60" s="20"/>
      <c r="M60" s="20">
        <v>1</v>
      </c>
      <c r="N60" s="21"/>
    </row>
    <row r="61" spans="1:14" ht="15" x14ac:dyDescent="0.25">
      <c r="A61" s="23" t="s">
        <v>7</v>
      </c>
      <c r="B61" s="4" t="s">
        <v>39</v>
      </c>
      <c r="C61" s="18" t="s">
        <v>75</v>
      </c>
      <c r="D61" s="22">
        <v>50</v>
      </c>
      <c r="E61" s="19">
        <f>2*D642+2</f>
        <v>2</v>
      </c>
      <c r="F61" s="20"/>
      <c r="G61" s="20"/>
      <c r="H61" s="20"/>
      <c r="I61" s="21"/>
      <c r="J61" s="21"/>
      <c r="K61" s="21"/>
      <c r="L61" s="20">
        <v>1</v>
      </c>
      <c r="M61" s="20">
        <v>1</v>
      </c>
      <c r="N61" s="21"/>
    </row>
    <row r="62" spans="1:14" ht="15" x14ac:dyDescent="0.25">
      <c r="A62" s="23" t="s">
        <v>8</v>
      </c>
      <c r="B62" s="3" t="s">
        <v>17</v>
      </c>
      <c r="C62" s="18" t="s">
        <v>74</v>
      </c>
      <c r="E62" s="25">
        <v>4</v>
      </c>
      <c r="F62" s="20">
        <v>1</v>
      </c>
      <c r="G62" s="20">
        <v>1</v>
      </c>
      <c r="H62" s="20">
        <v>1</v>
      </c>
      <c r="I62" s="21"/>
      <c r="J62" s="21"/>
      <c r="K62" s="21"/>
      <c r="L62" s="20"/>
      <c r="M62" s="20">
        <v>1</v>
      </c>
      <c r="N62" s="21"/>
    </row>
    <row r="63" spans="1:14" ht="15" x14ac:dyDescent="0.25">
      <c r="A63" s="23" t="s">
        <v>8</v>
      </c>
      <c r="B63" s="3" t="s">
        <v>21</v>
      </c>
      <c r="C63" s="18" t="s">
        <v>81</v>
      </c>
      <c r="E63" s="25">
        <v>2</v>
      </c>
      <c r="F63" s="20">
        <v>1</v>
      </c>
      <c r="G63" s="20">
        <v>1</v>
      </c>
      <c r="H63" s="20">
        <v>1</v>
      </c>
      <c r="I63" s="21"/>
      <c r="J63" s="21"/>
      <c r="K63" s="21"/>
      <c r="L63" s="20"/>
      <c r="M63" s="20">
        <v>1</v>
      </c>
      <c r="N63" s="21"/>
    </row>
    <row r="64" spans="1:14" ht="15" x14ac:dyDescent="0.25">
      <c r="A64" s="23" t="s">
        <v>8</v>
      </c>
      <c r="B64" s="3" t="s">
        <v>15</v>
      </c>
      <c r="C64" s="18" t="s">
        <v>74</v>
      </c>
      <c r="E64" s="25">
        <v>4</v>
      </c>
      <c r="F64" s="20">
        <v>1</v>
      </c>
      <c r="G64" s="20">
        <v>1</v>
      </c>
      <c r="H64" s="20">
        <v>1</v>
      </c>
      <c r="I64" s="21"/>
      <c r="J64" s="21"/>
      <c r="K64" s="21"/>
      <c r="L64" s="20"/>
      <c r="M64" s="20">
        <v>1</v>
      </c>
      <c r="N64" s="21"/>
    </row>
    <row r="65" spans="1:14" ht="15" x14ac:dyDescent="0.25">
      <c r="A65" s="23" t="s">
        <v>8</v>
      </c>
      <c r="B65" s="4" t="s">
        <v>34</v>
      </c>
      <c r="C65" s="18" t="s">
        <v>81</v>
      </c>
      <c r="E65" s="25">
        <v>2</v>
      </c>
      <c r="F65" s="20"/>
      <c r="G65" s="20"/>
      <c r="H65" s="20"/>
      <c r="I65" s="21"/>
      <c r="J65" s="21"/>
      <c r="K65" s="21"/>
      <c r="L65" s="20"/>
      <c r="M65" s="20">
        <v>1</v>
      </c>
      <c r="N65" s="21"/>
    </row>
    <row r="66" spans="1:14" ht="15" x14ac:dyDescent="0.25">
      <c r="A66" s="23" t="s">
        <v>9</v>
      </c>
      <c r="B66" s="3" t="s">
        <v>11</v>
      </c>
      <c r="C66" s="18" t="s">
        <v>74</v>
      </c>
      <c r="E66" s="25">
        <v>4</v>
      </c>
      <c r="F66" s="20">
        <v>1</v>
      </c>
      <c r="G66" s="20">
        <v>1</v>
      </c>
      <c r="H66" s="20">
        <v>1</v>
      </c>
      <c r="I66" s="21"/>
      <c r="J66" s="21"/>
      <c r="K66" s="21"/>
      <c r="L66" s="20"/>
      <c r="M66" s="20">
        <v>1</v>
      </c>
      <c r="N66" s="21"/>
    </row>
    <row r="67" spans="1:14" ht="15" x14ac:dyDescent="0.25">
      <c r="A67" s="23" t="s">
        <v>9</v>
      </c>
      <c r="B67" s="3" t="s">
        <v>12</v>
      </c>
      <c r="C67" s="18" t="s">
        <v>77</v>
      </c>
      <c r="D67" s="22"/>
      <c r="E67" s="19">
        <v>8</v>
      </c>
      <c r="F67" s="20">
        <v>1</v>
      </c>
      <c r="G67" s="20">
        <v>1</v>
      </c>
      <c r="H67" s="20">
        <v>1</v>
      </c>
      <c r="I67" s="21"/>
      <c r="J67" s="21"/>
      <c r="K67" s="21"/>
      <c r="L67" s="20"/>
      <c r="M67" s="20">
        <v>1</v>
      </c>
      <c r="N67" s="21"/>
    </row>
    <row r="68" spans="1:14" ht="15" x14ac:dyDescent="0.25">
      <c r="A68" s="23" t="s">
        <v>9</v>
      </c>
      <c r="B68" s="3" t="s">
        <v>15</v>
      </c>
      <c r="C68" s="18" t="s">
        <v>74</v>
      </c>
      <c r="D68" s="22"/>
      <c r="E68" s="19">
        <v>4</v>
      </c>
      <c r="F68" s="20">
        <v>1</v>
      </c>
      <c r="G68" s="20">
        <v>1</v>
      </c>
      <c r="H68" s="20">
        <v>1</v>
      </c>
      <c r="I68" s="21"/>
      <c r="J68" s="21"/>
      <c r="K68" s="21"/>
      <c r="L68" s="20"/>
      <c r="M68" s="20">
        <v>1</v>
      </c>
      <c r="N68" s="21"/>
    </row>
    <row r="69" spans="1:14" ht="15" x14ac:dyDescent="0.25">
      <c r="A69" s="23" t="s">
        <v>9</v>
      </c>
      <c r="B69" s="4" t="s">
        <v>34</v>
      </c>
      <c r="C69" s="18" t="s">
        <v>83</v>
      </c>
      <c r="D69" s="22">
        <v>5.2</v>
      </c>
      <c r="E69" s="19">
        <v>5</v>
      </c>
      <c r="F69" s="20"/>
      <c r="G69" s="20"/>
      <c r="H69" s="20"/>
      <c r="I69" s="21"/>
      <c r="J69" s="21"/>
      <c r="K69" s="21"/>
      <c r="L69" s="20"/>
      <c r="M69" s="20">
        <v>1</v>
      </c>
      <c r="N69" s="21"/>
    </row>
    <row r="70" spans="1:14" ht="15" x14ac:dyDescent="0.25">
      <c r="A70" s="23" t="s">
        <v>10</v>
      </c>
      <c r="B70" s="3" t="s">
        <v>11</v>
      </c>
      <c r="C70" s="18" t="s">
        <v>74</v>
      </c>
      <c r="D70" s="22"/>
      <c r="E70" s="19">
        <v>4</v>
      </c>
      <c r="F70" s="20">
        <v>1</v>
      </c>
      <c r="G70" s="20">
        <v>1</v>
      </c>
      <c r="H70" s="20">
        <v>1</v>
      </c>
      <c r="I70" s="21"/>
      <c r="J70" s="21"/>
      <c r="K70" s="21"/>
      <c r="L70" s="20"/>
      <c r="M70" s="20">
        <v>1</v>
      </c>
      <c r="N70" s="21"/>
    </row>
    <row r="71" spans="1:14" ht="15" x14ac:dyDescent="0.25">
      <c r="A71" s="23" t="s">
        <v>10</v>
      </c>
      <c r="B71" s="3" t="s">
        <v>13</v>
      </c>
      <c r="C71" s="18" t="s">
        <v>74</v>
      </c>
      <c r="D71" s="22"/>
      <c r="E71" s="19">
        <v>4</v>
      </c>
      <c r="F71" s="20">
        <v>1</v>
      </c>
      <c r="G71" s="20">
        <v>1</v>
      </c>
      <c r="H71" s="20">
        <v>1</v>
      </c>
      <c r="I71" s="21"/>
      <c r="J71" s="21"/>
      <c r="K71" s="21"/>
      <c r="L71" s="20"/>
      <c r="M71" s="20">
        <v>1</v>
      </c>
      <c r="N71" s="21"/>
    </row>
    <row r="72" spans="1:14" ht="15" x14ac:dyDescent="0.25">
      <c r="A72" s="23" t="s">
        <v>10</v>
      </c>
      <c r="B72" s="4" t="s">
        <v>28</v>
      </c>
      <c r="C72" s="18" t="s">
        <v>84</v>
      </c>
      <c r="D72" s="22"/>
      <c r="E72" s="19">
        <v>3</v>
      </c>
      <c r="F72" s="20"/>
      <c r="G72" s="20"/>
      <c r="H72" s="20"/>
      <c r="I72" s="21"/>
      <c r="J72" s="21"/>
      <c r="K72" s="21"/>
      <c r="L72" s="20"/>
      <c r="M72" s="20">
        <v>1</v>
      </c>
      <c r="N72" s="21"/>
    </row>
    <row r="73" spans="1:14" ht="15" x14ac:dyDescent="0.25">
      <c r="A73" s="23" t="s">
        <v>10</v>
      </c>
      <c r="B73" s="4" t="s">
        <v>35</v>
      </c>
      <c r="C73" s="18" t="s">
        <v>85</v>
      </c>
      <c r="D73" s="22"/>
      <c r="E73" s="19">
        <v>5</v>
      </c>
      <c r="F73" s="20"/>
      <c r="G73" s="20"/>
      <c r="H73" s="20"/>
      <c r="I73" s="21"/>
      <c r="J73" s="21"/>
      <c r="K73" s="21"/>
      <c r="L73" s="20"/>
      <c r="M73" s="20">
        <v>1</v>
      </c>
      <c r="N73" s="21"/>
    </row>
    <row r="74" spans="1:14" ht="15" x14ac:dyDescent="0.25">
      <c r="A74" s="23" t="s">
        <v>10</v>
      </c>
      <c r="B74" s="4" t="s">
        <v>40</v>
      </c>
      <c r="C74" s="18" t="s">
        <v>85</v>
      </c>
      <c r="D74" s="22"/>
      <c r="E74" s="19">
        <v>5</v>
      </c>
      <c r="F74" s="20"/>
      <c r="G74" s="20"/>
      <c r="H74" s="20"/>
      <c r="I74" s="21"/>
      <c r="J74" s="21"/>
      <c r="K74" s="21"/>
      <c r="L74" s="20"/>
      <c r="M74" s="20">
        <v>1</v>
      </c>
      <c r="N74" s="21"/>
    </row>
    <row r="75" spans="1:14" ht="15" x14ac:dyDescent="0.25">
      <c r="A75" s="23" t="s">
        <v>22</v>
      </c>
      <c r="B75" s="12" t="s">
        <v>51</v>
      </c>
      <c r="C75" t="s">
        <v>74</v>
      </c>
      <c r="D75"/>
      <c r="E75" s="26">
        <v>4</v>
      </c>
      <c r="F75" s="20">
        <v>1</v>
      </c>
      <c r="G75" s="20"/>
      <c r="H75" s="20">
        <v>1</v>
      </c>
      <c r="I75" s="21"/>
      <c r="J75" s="21"/>
      <c r="K75" s="21"/>
      <c r="L75" s="20">
        <v>1</v>
      </c>
      <c r="M75" s="20">
        <v>1</v>
      </c>
      <c r="N75" s="21"/>
    </row>
    <row r="76" spans="1:14" ht="15" x14ac:dyDescent="0.25">
      <c r="A76" s="23" t="s">
        <v>22</v>
      </c>
      <c r="B76" s="4" t="s">
        <v>52</v>
      </c>
      <c r="C76" s="18" t="s">
        <v>75</v>
      </c>
      <c r="D76" s="22">
        <v>50</v>
      </c>
      <c r="E76" s="19">
        <f>2*D76+2</f>
        <v>102</v>
      </c>
      <c r="F76" s="20"/>
      <c r="G76" s="20"/>
      <c r="H76" s="20"/>
      <c r="I76" s="21"/>
      <c r="J76" s="21"/>
      <c r="K76" s="21"/>
      <c r="L76" s="20"/>
      <c r="M76" s="20">
        <v>1</v>
      </c>
      <c r="N76" s="21"/>
    </row>
    <row r="77" spans="1:14" ht="15" x14ac:dyDescent="0.25">
      <c r="A77" s="23" t="s">
        <v>22</v>
      </c>
      <c r="B77" s="4" t="s">
        <v>53</v>
      </c>
      <c r="C77" s="18" t="s">
        <v>86</v>
      </c>
      <c r="D77" s="4">
        <v>5</v>
      </c>
      <c r="E77" s="19">
        <v>7</v>
      </c>
      <c r="F77" s="20"/>
      <c r="G77" s="20"/>
      <c r="H77" s="20"/>
      <c r="I77" s="21"/>
      <c r="J77" s="21"/>
      <c r="K77" s="21"/>
      <c r="L77" s="20"/>
      <c r="M77" s="20">
        <v>1</v>
      </c>
      <c r="N77" s="21"/>
    </row>
    <row r="78" spans="1:14" ht="15" x14ac:dyDescent="0.25">
      <c r="A78" s="23" t="s">
        <v>22</v>
      </c>
      <c r="B78" s="4" t="s">
        <v>54</v>
      </c>
      <c r="C78" s="18" t="s">
        <v>75</v>
      </c>
      <c r="D78" s="22">
        <v>2</v>
      </c>
      <c r="E78" s="19">
        <f>2*D78+2</f>
        <v>6</v>
      </c>
      <c r="F78" s="20"/>
      <c r="G78" s="20"/>
      <c r="H78" s="20"/>
      <c r="I78" s="21"/>
      <c r="J78" s="21"/>
      <c r="K78" s="21"/>
      <c r="L78" s="20"/>
      <c r="M78" s="20">
        <v>1</v>
      </c>
      <c r="N78" s="21"/>
    </row>
    <row r="79" spans="1:14" ht="15" x14ac:dyDescent="0.25">
      <c r="A79" s="23" t="s">
        <v>22</v>
      </c>
      <c r="B79" s="4" t="s">
        <v>55</v>
      </c>
      <c r="C79" s="18" t="s">
        <v>75</v>
      </c>
      <c r="D79" s="4">
        <v>7</v>
      </c>
      <c r="E79" s="19">
        <f>2*D79+2</f>
        <v>16</v>
      </c>
      <c r="F79" s="20"/>
      <c r="G79" s="20"/>
      <c r="H79" s="20"/>
      <c r="I79" s="21"/>
      <c r="J79" s="21"/>
      <c r="K79" s="21"/>
      <c r="L79" s="20"/>
      <c r="M79" s="20">
        <v>1</v>
      </c>
      <c r="N79" s="21"/>
    </row>
    <row r="80" spans="1:14" ht="18" x14ac:dyDescent="0.25">
      <c r="A80" s="42" t="s">
        <v>87</v>
      </c>
      <c r="B80" s="42"/>
      <c r="C80" s="27"/>
      <c r="D80" s="21"/>
      <c r="E80" s="21"/>
      <c r="F80" s="21"/>
      <c r="G80" s="21"/>
      <c r="H80" s="21"/>
      <c r="I80" s="21"/>
      <c r="J80" s="21"/>
      <c r="K80" s="21"/>
      <c r="L80" s="20"/>
      <c r="M80" s="20"/>
      <c r="N80" s="21"/>
    </row>
    <row r="81" spans="1:14" ht="15" x14ac:dyDescent="0.25">
      <c r="A81" s="43" t="s">
        <v>88</v>
      </c>
      <c r="B81" s="43"/>
      <c r="C81" s="43"/>
      <c r="D81" s="43"/>
      <c r="E81" s="43"/>
      <c r="F81" s="43"/>
      <c r="G81" s="28"/>
      <c r="H81" s="28"/>
      <c r="I81" s="28"/>
      <c r="J81" s="21"/>
      <c r="K81" s="21"/>
      <c r="L81" s="20"/>
      <c r="M81" s="20"/>
      <c r="N81" s="21"/>
    </row>
    <row r="82" spans="1:14" ht="15" x14ac:dyDescent="0.25">
      <c r="A82" s="44" t="s">
        <v>89</v>
      </c>
      <c r="B82" s="44"/>
      <c r="C82" s="29"/>
      <c r="D82" s="21"/>
      <c r="E82" s="21"/>
      <c r="F82" s="21"/>
      <c r="G82" s="21"/>
      <c r="H82" s="21"/>
      <c r="I82" s="21"/>
      <c r="J82" s="21"/>
      <c r="K82" s="21"/>
      <c r="L82" s="20"/>
      <c r="M82" s="20"/>
      <c r="N82" s="21"/>
    </row>
    <row r="83" spans="1:14" ht="60" x14ac:dyDescent="0.25">
      <c r="A83" s="30" t="s">
        <v>60</v>
      </c>
      <c r="B83" s="31" t="s">
        <v>90</v>
      </c>
      <c r="C83" s="31" t="s">
        <v>91</v>
      </c>
      <c r="D83" s="32" t="s">
        <v>92</v>
      </c>
      <c r="E83" s="32" t="s">
        <v>93</v>
      </c>
      <c r="F83" s="32" t="s">
        <v>94</v>
      </c>
      <c r="G83" s="32" t="s">
        <v>95</v>
      </c>
      <c r="H83" s="32" t="s">
        <v>96</v>
      </c>
      <c r="I83" s="32" t="s">
        <v>97</v>
      </c>
      <c r="J83" s="21"/>
      <c r="K83" s="21"/>
      <c r="L83" s="20"/>
      <c r="M83" s="20"/>
      <c r="N83" s="21"/>
    </row>
    <row r="84" spans="1:14" ht="15" x14ac:dyDescent="0.25">
      <c r="A84" s="33" t="s">
        <v>0</v>
      </c>
      <c r="B84" s="4">
        <v>50</v>
      </c>
      <c r="C84" s="4">
        <v>5</v>
      </c>
      <c r="D84" s="19">
        <f t="shared" ref="D84:D95" si="0">B84+10*C84</f>
        <v>100</v>
      </c>
      <c r="E84" s="19">
        <f>SUM(E18:E25)</f>
        <v>135</v>
      </c>
      <c r="F84" s="19">
        <f t="shared" ref="F84:F95" si="1">D84*E84</f>
        <v>13500</v>
      </c>
      <c r="G84" s="34">
        <f t="shared" ref="G84:I95" si="2">F84/1024</f>
        <v>13.18359375</v>
      </c>
      <c r="H84" s="34">
        <f t="shared" si="2"/>
        <v>1.2874603271484375E-2</v>
      </c>
      <c r="I84" s="19">
        <f t="shared" si="2"/>
        <v>1.257285475730896E-5</v>
      </c>
      <c r="J84" s="21"/>
      <c r="K84" s="21"/>
      <c r="L84" s="20"/>
      <c r="M84" s="20"/>
      <c r="N84" s="21"/>
    </row>
    <row r="85" spans="1:14" ht="15" x14ac:dyDescent="0.25">
      <c r="A85" s="35" t="s">
        <v>1</v>
      </c>
      <c r="B85" s="36">
        <v>10000000</v>
      </c>
      <c r="C85" s="36">
        <v>11000000</v>
      </c>
      <c r="D85" s="19">
        <f t="shared" si="0"/>
        <v>120000000</v>
      </c>
      <c r="E85" s="19">
        <f>SUM(E26:E29)</f>
        <v>17</v>
      </c>
      <c r="F85" s="19">
        <f t="shared" si="1"/>
        <v>2040000000</v>
      </c>
      <c r="G85" s="34">
        <f t="shared" si="2"/>
        <v>1992187.5</v>
      </c>
      <c r="H85" s="34">
        <f t="shared" si="2"/>
        <v>1945.49560546875</v>
      </c>
      <c r="I85" s="19">
        <f t="shared" si="2"/>
        <v>1.8998980522155762</v>
      </c>
      <c r="J85" s="21"/>
      <c r="K85" s="21"/>
      <c r="L85" s="20"/>
      <c r="M85" s="20"/>
      <c r="N85" s="21"/>
    </row>
    <row r="86" spans="1:14" ht="15" x14ac:dyDescent="0.25">
      <c r="A86" s="35" t="s">
        <v>2</v>
      </c>
      <c r="B86" s="4">
        <v>150</v>
      </c>
      <c r="C86" s="4">
        <v>30</v>
      </c>
      <c r="D86" s="19">
        <f t="shared" si="0"/>
        <v>450</v>
      </c>
      <c r="E86" s="19">
        <f>SUM(E30:E31)</f>
        <v>8</v>
      </c>
      <c r="F86" s="19">
        <f t="shared" si="1"/>
        <v>3600</v>
      </c>
      <c r="G86" s="34">
        <f t="shared" si="2"/>
        <v>3.515625</v>
      </c>
      <c r="H86" s="34">
        <f t="shared" si="2"/>
        <v>3.4332275390625E-3</v>
      </c>
      <c r="I86" s="19">
        <f t="shared" si="2"/>
        <v>3.3527612686157227E-6</v>
      </c>
      <c r="J86" s="21"/>
      <c r="K86" s="21"/>
      <c r="L86" s="20"/>
      <c r="M86" s="20"/>
      <c r="N86" s="21"/>
    </row>
    <row r="87" spans="1:14" ht="15" x14ac:dyDescent="0.25">
      <c r="A87" s="35" t="s">
        <v>3</v>
      </c>
      <c r="B87" s="4">
        <v>200</v>
      </c>
      <c r="C87" s="4">
        <v>34</v>
      </c>
      <c r="D87" s="19">
        <f t="shared" si="0"/>
        <v>540</v>
      </c>
      <c r="E87" s="19">
        <f>SUM(E32:E41)</f>
        <v>205</v>
      </c>
      <c r="F87" s="19">
        <f t="shared" si="1"/>
        <v>110700</v>
      </c>
      <c r="G87" s="34">
        <f t="shared" si="2"/>
        <v>108.10546875</v>
      </c>
      <c r="H87" s="34">
        <f t="shared" si="2"/>
        <v>0.10557174682617188</v>
      </c>
      <c r="I87" s="19">
        <f t="shared" si="2"/>
        <v>1.0309740900993347E-4</v>
      </c>
      <c r="J87" s="21"/>
      <c r="K87" s="21"/>
      <c r="L87" s="20"/>
      <c r="M87" s="20"/>
      <c r="N87" s="21"/>
    </row>
    <row r="88" spans="1:14" ht="15" x14ac:dyDescent="0.25">
      <c r="A88" s="35" t="s">
        <v>4</v>
      </c>
      <c r="B88" s="21">
        <v>50</v>
      </c>
      <c r="C88" s="21">
        <v>5</v>
      </c>
      <c r="D88" s="19">
        <f t="shared" si="0"/>
        <v>100</v>
      </c>
      <c r="E88" s="19">
        <f>SUM(E42:E46)</f>
        <v>120</v>
      </c>
      <c r="F88" s="19">
        <f t="shared" si="1"/>
        <v>12000</v>
      </c>
      <c r="G88" s="34">
        <f t="shared" si="2"/>
        <v>11.71875</v>
      </c>
      <c r="H88" s="34">
        <f t="shared" si="2"/>
        <v>1.1444091796875E-2</v>
      </c>
      <c r="I88" s="19">
        <f t="shared" si="2"/>
        <v>1.1175870895385742E-5</v>
      </c>
      <c r="J88" s="21"/>
      <c r="K88" s="21"/>
      <c r="L88" s="20"/>
      <c r="M88" s="20"/>
      <c r="N88" s="21"/>
    </row>
    <row r="89" spans="1:14" ht="15" x14ac:dyDescent="0.25">
      <c r="A89" s="37" t="s">
        <v>5</v>
      </c>
      <c r="B89" s="4">
        <v>6</v>
      </c>
      <c r="C89" s="4">
        <v>0</v>
      </c>
      <c r="D89" s="19">
        <f t="shared" si="0"/>
        <v>6</v>
      </c>
      <c r="E89" s="19">
        <f>SUM(E47:E48)</f>
        <v>106</v>
      </c>
      <c r="F89" s="19">
        <f t="shared" si="1"/>
        <v>636</v>
      </c>
      <c r="G89" s="34">
        <f t="shared" si="2"/>
        <v>0.62109375</v>
      </c>
      <c r="H89" s="34">
        <f t="shared" si="2"/>
        <v>6.06536865234375E-4</v>
      </c>
      <c r="I89" s="19">
        <f t="shared" si="2"/>
        <v>5.9232115745544434E-7</v>
      </c>
      <c r="J89" s="21"/>
      <c r="K89" s="21"/>
      <c r="L89" s="20"/>
      <c r="M89" s="20"/>
      <c r="N89" s="21"/>
    </row>
    <row r="90" spans="1:14" ht="15" x14ac:dyDescent="0.25">
      <c r="A90" s="37" t="s">
        <v>6</v>
      </c>
      <c r="B90" s="4">
        <v>70</v>
      </c>
      <c r="C90" s="4">
        <v>15</v>
      </c>
      <c r="D90" s="19">
        <f t="shared" si="0"/>
        <v>220</v>
      </c>
      <c r="E90" s="19">
        <f>SUM(E49:E55)</f>
        <v>134</v>
      </c>
      <c r="F90" s="19">
        <f t="shared" si="1"/>
        <v>29480</v>
      </c>
      <c r="G90" s="34">
        <f t="shared" si="2"/>
        <v>28.7890625</v>
      </c>
      <c r="H90" s="34">
        <f t="shared" si="2"/>
        <v>2.811431884765625E-2</v>
      </c>
      <c r="I90" s="19">
        <f t="shared" si="2"/>
        <v>2.7455389499664307E-5</v>
      </c>
      <c r="J90" s="21"/>
      <c r="K90" s="21"/>
      <c r="L90" s="20"/>
      <c r="M90" s="20"/>
      <c r="N90" s="21"/>
    </row>
    <row r="91" spans="1:14" ht="23.85" customHeight="1" x14ac:dyDescent="0.25">
      <c r="A91" s="37" t="s">
        <v>7</v>
      </c>
      <c r="B91" s="4">
        <v>50</v>
      </c>
      <c r="C91" s="4">
        <v>2</v>
      </c>
      <c r="D91" s="19">
        <f t="shared" si="0"/>
        <v>70</v>
      </c>
      <c r="E91" s="19">
        <f>SUM(E57:E61)</f>
        <v>16</v>
      </c>
      <c r="F91" s="19">
        <f t="shared" si="1"/>
        <v>1120</v>
      </c>
      <c r="G91" s="34">
        <f t="shared" si="2"/>
        <v>1.09375</v>
      </c>
      <c r="H91" s="34">
        <f t="shared" si="2"/>
        <v>1.068115234375E-3</v>
      </c>
      <c r="I91" s="19">
        <f t="shared" si="2"/>
        <v>1.0430812835693359E-6</v>
      </c>
      <c r="J91" s="21"/>
      <c r="K91" s="21"/>
      <c r="L91" s="20"/>
      <c r="M91" s="20"/>
      <c r="N91" s="21"/>
    </row>
    <row r="92" spans="1:14" ht="15" x14ac:dyDescent="0.25">
      <c r="A92" s="35" t="s">
        <v>8</v>
      </c>
      <c r="B92" s="18">
        <v>250</v>
      </c>
      <c r="C92" s="18">
        <v>25</v>
      </c>
      <c r="D92" s="19">
        <f t="shared" si="0"/>
        <v>500</v>
      </c>
      <c r="E92" s="19">
        <f>SUM(E62:E65)</f>
        <v>12</v>
      </c>
      <c r="F92" s="19">
        <f t="shared" si="1"/>
        <v>6000</v>
      </c>
      <c r="G92" s="34">
        <f t="shared" si="2"/>
        <v>5.859375</v>
      </c>
      <c r="H92" s="34">
        <f t="shared" si="2"/>
        <v>5.7220458984375E-3</v>
      </c>
      <c r="I92" s="19">
        <f t="shared" si="2"/>
        <v>5.5879354476928711E-6</v>
      </c>
      <c r="J92" s="21"/>
      <c r="K92" s="21"/>
      <c r="L92" s="20"/>
      <c r="M92" s="20"/>
      <c r="N92" s="21"/>
    </row>
    <row r="93" spans="1:14" ht="15" x14ac:dyDescent="0.25">
      <c r="A93" s="35" t="s">
        <v>9</v>
      </c>
      <c r="B93" s="38">
        <v>30000000</v>
      </c>
      <c r="C93" s="38">
        <v>33000000</v>
      </c>
      <c r="D93" s="19">
        <f t="shared" si="0"/>
        <v>360000000</v>
      </c>
      <c r="E93" s="19">
        <f>SUM(E66:E69)</f>
        <v>21</v>
      </c>
      <c r="F93" s="19">
        <f t="shared" si="1"/>
        <v>7560000000</v>
      </c>
      <c r="G93" s="34">
        <f t="shared" si="2"/>
        <v>7382812.5</v>
      </c>
      <c r="H93" s="34">
        <f t="shared" si="2"/>
        <v>7209.77783203125</v>
      </c>
      <c r="I93" s="19">
        <f t="shared" si="2"/>
        <v>7.0407986640930176</v>
      </c>
      <c r="J93" s="21"/>
      <c r="K93" s="21"/>
      <c r="L93" s="20"/>
      <c r="M93" s="20"/>
      <c r="N93" s="21"/>
    </row>
    <row r="94" spans="1:14" ht="15" x14ac:dyDescent="0.25">
      <c r="A94" s="35" t="s">
        <v>10</v>
      </c>
      <c r="B94" s="18">
        <v>30000</v>
      </c>
      <c r="C94" s="18">
        <v>36000</v>
      </c>
      <c r="D94" s="19">
        <f t="shared" si="0"/>
        <v>390000</v>
      </c>
      <c r="E94" s="19">
        <f>SUM(E70:E74)</f>
        <v>21</v>
      </c>
      <c r="F94" s="19">
        <f t="shared" si="1"/>
        <v>8190000</v>
      </c>
      <c r="G94" s="34">
        <f t="shared" si="2"/>
        <v>7998.046875</v>
      </c>
      <c r="H94" s="34">
        <f t="shared" si="2"/>
        <v>7.8105926513671875</v>
      </c>
      <c r="I94" s="19">
        <f t="shared" si="2"/>
        <v>7.627531886100769E-3</v>
      </c>
      <c r="J94" s="21"/>
      <c r="K94" s="21"/>
      <c r="L94" s="20"/>
      <c r="M94" s="20"/>
      <c r="N94" s="21"/>
    </row>
    <row r="95" spans="1:14" ht="15" x14ac:dyDescent="0.25">
      <c r="A95" s="23" t="s">
        <v>22</v>
      </c>
      <c r="B95" s="18">
        <v>250</v>
      </c>
      <c r="C95" s="18">
        <v>39</v>
      </c>
      <c r="D95" s="19">
        <f t="shared" si="0"/>
        <v>640</v>
      </c>
      <c r="E95" s="19">
        <f>SUM(E75:E79)</f>
        <v>135</v>
      </c>
      <c r="F95" s="19">
        <f t="shared" si="1"/>
        <v>86400</v>
      </c>
      <c r="G95" s="34">
        <f t="shared" si="2"/>
        <v>84.375</v>
      </c>
      <c r="H95" s="34">
        <f t="shared" si="2"/>
        <v>8.23974609375E-2</v>
      </c>
      <c r="I95" s="19">
        <f t="shared" si="2"/>
        <v>8.0466270446777344E-5</v>
      </c>
      <c r="J95" s="21"/>
      <c r="K95" s="21"/>
      <c r="L95" s="20"/>
      <c r="M95" s="20"/>
      <c r="N95" s="21"/>
    </row>
    <row r="96" spans="1:14" ht="15" x14ac:dyDescent="0.25">
      <c r="A96"/>
      <c r="B96"/>
      <c r="C96"/>
      <c r="D96"/>
      <c r="E96"/>
      <c r="G96"/>
      <c r="H96"/>
      <c r="I96"/>
      <c r="J96" s="21"/>
      <c r="K96" s="21"/>
      <c r="L96" s="20"/>
      <c r="M96" s="20"/>
      <c r="N96" s="21"/>
    </row>
    <row r="97" spans="1:14" ht="15" x14ac:dyDescent="0.25">
      <c r="A97" s="39" t="s">
        <v>98</v>
      </c>
      <c r="B97" s="40"/>
      <c r="C97" s="40"/>
      <c r="D97" s="21"/>
      <c r="E97" s="21"/>
      <c r="F97" s="19">
        <f>SUM(F84:F95)</f>
        <v>9608453436</v>
      </c>
      <c r="G97" s="19">
        <f>SUM(G84:G95)</f>
        <v>9383255.30859375</v>
      </c>
      <c r="H97" s="19">
        <f>SUM(H84:H95)</f>
        <v>9163.335262298584</v>
      </c>
      <c r="I97" s="19">
        <f>SUM(I84:I95)</f>
        <v>8.9485695920884609</v>
      </c>
      <c r="J97" s="21"/>
      <c r="K97" s="21"/>
      <c r="L97" s="20"/>
      <c r="M97" s="20"/>
      <c r="N97" s="21"/>
    </row>
    <row r="98" spans="1:14" ht="35.1" customHeight="1" x14ac:dyDescent="0.25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0"/>
      <c r="M98" s="20"/>
      <c r="N98" s="21"/>
    </row>
    <row r="99" spans="1:14" ht="35.1" customHeight="1" x14ac:dyDescent="0.25">
      <c r="A99" s="45" t="s">
        <v>99</v>
      </c>
      <c r="B99" s="45"/>
      <c r="C99" s="45"/>
      <c r="D99" s="41">
        <v>0.4</v>
      </c>
      <c r="E99" s="21"/>
      <c r="F99" s="19">
        <f>F97*1.4</f>
        <v>13451834810.4</v>
      </c>
      <c r="G99" s="19">
        <f>G97*1.4</f>
        <v>13136557.43203125</v>
      </c>
      <c r="H99" s="19">
        <f>H97*1.4</f>
        <v>12828.669367218017</v>
      </c>
      <c r="I99" s="19">
        <f>I97*1.4</f>
        <v>12.527997428923845</v>
      </c>
      <c r="J99" s="21"/>
      <c r="K99" s="21"/>
      <c r="L99" s="20"/>
      <c r="M99" s="20"/>
      <c r="N99" s="21"/>
    </row>
    <row r="100" spans="1:14" ht="15" x14ac:dyDescent="0.25">
      <c r="A100" s="23"/>
      <c r="B100" s="18"/>
      <c r="C100" s="18"/>
      <c r="D100" s="22"/>
      <c r="E100" s="21"/>
      <c r="F100" s="20"/>
      <c r="G100" s="20"/>
      <c r="H100" s="20"/>
      <c r="I100" s="21"/>
      <c r="J100" s="21"/>
      <c r="K100" s="21"/>
      <c r="L100" s="20"/>
      <c r="M100" s="20"/>
      <c r="N100" s="21"/>
    </row>
    <row r="101" spans="1:14" ht="15" x14ac:dyDescent="0.25">
      <c r="A101" s="23"/>
      <c r="B101" s="18"/>
      <c r="C101" s="18"/>
      <c r="D101" s="22"/>
      <c r="E101" s="21"/>
      <c r="F101" s="20"/>
      <c r="G101" s="20"/>
      <c r="H101" s="20"/>
      <c r="I101" s="21"/>
      <c r="J101" s="21"/>
      <c r="K101" s="21"/>
      <c r="L101" s="20"/>
      <c r="M101" s="20"/>
      <c r="N101" s="21"/>
    </row>
    <row r="102" spans="1:14" ht="15" x14ac:dyDescent="0.25">
      <c r="A102" s="23"/>
      <c r="B102" s="18"/>
      <c r="C102" s="18"/>
      <c r="D102" s="22"/>
      <c r="E102" s="21"/>
      <c r="F102" s="20"/>
      <c r="G102" s="20"/>
      <c r="H102" s="20"/>
      <c r="I102" s="21"/>
      <c r="J102" s="21"/>
      <c r="K102" s="21"/>
      <c r="L102" s="20"/>
      <c r="M102" s="20"/>
      <c r="N102" s="21"/>
    </row>
    <row r="103" spans="1:14" ht="15" x14ac:dyDescent="0.25">
      <c r="J103" s="21"/>
      <c r="K103" s="21"/>
      <c r="L103" s="20"/>
      <c r="M103" s="20"/>
      <c r="N103" s="21"/>
    </row>
    <row r="104" spans="1:14" ht="15" x14ac:dyDescent="0.25">
      <c r="J104" s="21"/>
      <c r="K104" s="21"/>
      <c r="L104" s="20"/>
      <c r="M104" s="20"/>
      <c r="N104" s="21"/>
    </row>
    <row r="105" spans="1:14" ht="15" x14ac:dyDescent="0.25">
      <c r="J105" s="21"/>
      <c r="K105" s="21"/>
      <c r="L105" s="20"/>
      <c r="M105" s="20"/>
      <c r="N105" s="21"/>
    </row>
    <row r="106" spans="1:14" ht="15" x14ac:dyDescent="0.25">
      <c r="A106" s="23"/>
      <c r="B106" s="18"/>
      <c r="C106" s="18"/>
      <c r="D106" s="22"/>
      <c r="E106" s="21"/>
      <c r="F106" s="20"/>
      <c r="G106" s="20"/>
      <c r="H106" s="20"/>
      <c r="I106" s="21"/>
      <c r="J106" s="21"/>
      <c r="K106" s="21"/>
      <c r="L106" s="20"/>
      <c r="M106" s="20"/>
      <c r="N106" s="21"/>
    </row>
    <row r="107" spans="1:14" ht="15" x14ac:dyDescent="0.25">
      <c r="A107" s="23"/>
      <c r="B107" s="18"/>
      <c r="C107" s="18"/>
      <c r="D107" s="22"/>
      <c r="E107" s="21"/>
      <c r="F107" s="20"/>
      <c r="G107" s="20"/>
      <c r="H107" s="20"/>
      <c r="I107" s="21"/>
      <c r="J107" s="21"/>
      <c r="K107" s="21"/>
      <c r="L107" s="20"/>
      <c r="M107" s="20"/>
      <c r="N107" s="21"/>
    </row>
    <row r="108" spans="1:14" ht="15" x14ac:dyDescent="0.25">
      <c r="A108" s="23"/>
      <c r="B108" s="18"/>
      <c r="C108" s="18"/>
      <c r="D108" s="22"/>
      <c r="E108" s="21"/>
      <c r="F108" s="20"/>
      <c r="G108" s="20"/>
      <c r="H108" s="20"/>
      <c r="I108" s="21"/>
      <c r="J108" s="21"/>
      <c r="K108" s="21"/>
      <c r="L108" s="20"/>
      <c r="M108" s="20"/>
      <c r="N108" s="21"/>
    </row>
    <row r="109" spans="1:14" ht="15" x14ac:dyDescent="0.25">
      <c r="A109" s="23"/>
      <c r="B109" s="18"/>
      <c r="C109" s="18"/>
      <c r="D109" s="22"/>
      <c r="E109" s="21"/>
      <c r="F109" s="20"/>
      <c r="G109" s="20"/>
      <c r="H109" s="20"/>
      <c r="I109" s="21"/>
      <c r="J109" s="21"/>
      <c r="K109" s="21"/>
      <c r="L109" s="20"/>
      <c r="M109" s="20"/>
      <c r="N109" s="21"/>
    </row>
    <row r="110" spans="1:14" ht="15" x14ac:dyDescent="0.25">
      <c r="A110" s="23"/>
      <c r="B110" s="18"/>
      <c r="C110" s="18"/>
      <c r="D110" s="22"/>
      <c r="E110" s="21"/>
      <c r="F110" s="20"/>
      <c r="G110" s="20"/>
      <c r="H110" s="20"/>
      <c r="I110" s="21"/>
      <c r="J110" s="21"/>
      <c r="K110" s="21"/>
      <c r="L110" s="20"/>
      <c r="M110" s="20"/>
      <c r="N110" s="21"/>
    </row>
    <row r="111" spans="1:14" ht="15" x14ac:dyDescent="0.25">
      <c r="A111" s="23"/>
      <c r="B111" s="18"/>
      <c r="C111" s="18"/>
      <c r="D111" s="22"/>
      <c r="E111" s="21"/>
      <c r="F111" s="20"/>
      <c r="G111" s="20"/>
      <c r="H111" s="20"/>
      <c r="I111" s="21"/>
      <c r="J111" s="21"/>
      <c r="K111" s="21"/>
      <c r="L111" s="20"/>
      <c r="M111" s="20"/>
      <c r="N111" s="21"/>
    </row>
    <row r="112" spans="1:14" ht="15" x14ac:dyDescent="0.25">
      <c r="A112" s="23"/>
      <c r="B112" s="18"/>
      <c r="C112" s="18"/>
      <c r="D112" s="22"/>
      <c r="E112" s="21"/>
      <c r="F112" s="20"/>
      <c r="G112" s="20"/>
      <c r="H112" s="20"/>
      <c r="I112" s="21"/>
      <c r="J112" s="21"/>
      <c r="K112" s="21"/>
      <c r="L112" s="20"/>
      <c r="M112" s="20"/>
      <c r="N112" s="21"/>
    </row>
    <row r="113" spans="10:14" ht="15" x14ac:dyDescent="0.25">
      <c r="J113" s="21"/>
      <c r="K113" s="21"/>
      <c r="L113" s="20"/>
      <c r="M113" s="20"/>
      <c r="N113" s="21"/>
    </row>
    <row r="114" spans="10:14" ht="15" x14ac:dyDescent="0.25">
      <c r="J114" s="21"/>
      <c r="K114" s="21"/>
      <c r="L114" s="20"/>
      <c r="M114" s="20"/>
      <c r="N114" s="21"/>
    </row>
    <row r="115" spans="10:14" ht="15" x14ac:dyDescent="0.25">
      <c r="J115" s="21"/>
      <c r="K115" s="21"/>
      <c r="L115" s="20"/>
      <c r="M115" s="20"/>
      <c r="N115" s="21"/>
    </row>
    <row r="116" spans="10:14" ht="15" x14ac:dyDescent="0.25">
      <c r="J116" s="21"/>
      <c r="K116" s="21"/>
      <c r="L116" s="20"/>
      <c r="M116" s="20"/>
      <c r="N116" s="21"/>
    </row>
    <row r="117" spans="10:14" ht="15" x14ac:dyDescent="0.25">
      <c r="J117" s="21"/>
      <c r="K117" s="21"/>
      <c r="L117" s="20"/>
      <c r="M117" s="20"/>
      <c r="N117" s="21"/>
    </row>
    <row r="118" spans="10:14" ht="15" x14ac:dyDescent="0.25">
      <c r="J118" s="21"/>
      <c r="K118" s="21"/>
      <c r="L118" s="20"/>
      <c r="M118" s="20"/>
      <c r="N118" s="21"/>
    </row>
    <row r="119" spans="10:14" ht="15" x14ac:dyDescent="0.25">
      <c r="J119" s="21"/>
      <c r="K119" s="21"/>
      <c r="L119" s="20"/>
      <c r="M119" s="20"/>
      <c r="N119" s="21"/>
    </row>
    <row r="120" spans="10:14" ht="15" x14ac:dyDescent="0.25">
      <c r="J120" s="21"/>
      <c r="K120" s="21"/>
      <c r="L120" s="20"/>
      <c r="M120" s="20"/>
      <c r="N120" s="21"/>
    </row>
    <row r="121" spans="10:14" ht="15" x14ac:dyDescent="0.25">
      <c r="J121" s="21"/>
      <c r="K121" s="21"/>
      <c r="L121" s="20"/>
      <c r="M121" s="20"/>
      <c r="N121" s="21"/>
    </row>
    <row r="122" spans="10:14" ht="15" x14ac:dyDescent="0.25">
      <c r="J122" s="21"/>
      <c r="K122" s="21"/>
      <c r="L122" s="20"/>
      <c r="M122" s="20"/>
      <c r="N122" s="21"/>
    </row>
    <row r="123" spans="10:14" ht="15" x14ac:dyDescent="0.25">
      <c r="J123" s="21"/>
      <c r="K123" s="21"/>
      <c r="L123" s="20"/>
      <c r="M123" s="20"/>
      <c r="N123" s="21"/>
    </row>
    <row r="124" spans="10:14" ht="15" x14ac:dyDescent="0.25">
      <c r="J124" s="21"/>
      <c r="K124" s="21"/>
      <c r="L124" s="20"/>
      <c r="M124" s="20"/>
      <c r="N124" s="21"/>
    </row>
    <row r="125" spans="10:14" ht="15" x14ac:dyDescent="0.25">
      <c r="J125" s="21"/>
      <c r="K125" s="21"/>
      <c r="L125" s="20"/>
      <c r="M125" s="20"/>
      <c r="N125" s="21"/>
    </row>
  </sheetData>
  <mergeCells count="4">
    <mergeCell ref="A80:B80"/>
    <mergeCell ref="A81:F81"/>
    <mergeCell ref="A82:B82"/>
    <mergeCell ref="A99:C99"/>
  </mergeCell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&amp;C&amp;12&amp;A</oddHeader>
    <oddFooter>&amp;C&amp;12Page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3.NF</vt:lpstr>
      <vt:lpstr>Bäckereikette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Alfa</cp:lastModifiedBy>
  <cp:revision>21</cp:revision>
  <dcterms:created xsi:type="dcterms:W3CDTF">2026-08-10T13:37:04Z</dcterms:created>
  <dcterms:modified xsi:type="dcterms:W3CDTF">2026-08-25T12:52:42Z</dcterms:modified>
  <dc:language>de-DE</dc:language>
</cp:coreProperties>
</file>
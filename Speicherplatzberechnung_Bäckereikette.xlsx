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3.NF" sheetId="1" state="visible" r:id="rId3"/>
    <sheet name="Bäckereikett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<sst xmlns="http://schemas.openxmlformats.org/spreadsheetml/2006/main" count="450" uniqueCount="103">
  <si>
    <t xml:space="preserve">Filiale</t>
  </si>
  <si>
    <t xml:space="preserve">Verkauf</t>
  </si>
  <si>
    <t xml:space="preserve">Verkäufer</t>
  </si>
  <si>
    <t xml:space="preserve">Mitarbeiter</t>
  </si>
  <si>
    <t xml:space="preserve">Produkt</t>
  </si>
  <si>
    <t xml:space="preserve">Kategorie</t>
  </si>
  <si>
    <t xml:space="preserve">Rezept</t>
  </si>
  <si>
    <t xml:space="preserve">Zutaten</t>
  </si>
  <si>
    <t xml:space="preserve">beinhaltet</t>
  </si>
  <si>
    <t xml:space="preserve">wird verkauft</t>
  </si>
  <si>
    <t xml:space="preserve">arbeitet in</t>
  </si>
  <si>
    <t xml:space="preserve">FilialID</t>
  </si>
  <si>
    <t xml:space="preserve">Zeitpunkt</t>
  </si>
  <si>
    <t xml:space="preserve">VerkäuferID</t>
  </si>
  <si>
    <t xml:space="preserve">MitarbeiterID</t>
  </si>
  <si>
    <t xml:space="preserve">ProduktID</t>
  </si>
  <si>
    <t xml:space="preserve">KategorieID</t>
  </si>
  <si>
    <t xml:space="preserve">ZutatID</t>
  </si>
  <si>
    <t xml:space="preserve">SchichtID</t>
  </si>
  <si>
    <t xml:space="preserve">Filialname</t>
  </si>
  <si>
    <t xml:space="preserve">Name</t>
  </si>
  <si>
    <t xml:space="preserve">Bruttopreis</t>
  </si>
  <si>
    <t xml:space="preserve">Version</t>
  </si>
  <si>
    <t xml:space="preserve">LagerkostenProg</t>
  </si>
  <si>
    <t xml:space="preserve">Adresse</t>
  </si>
  <si>
    <t xml:space="preserve">Zahlart</t>
  </si>
  <si>
    <t xml:space="preserve">Geschlecht</t>
  </si>
  <si>
    <t xml:space="preserve">Nettopreis</t>
  </si>
  <si>
    <t xml:space="preserve">Zubereitungsdauer</t>
  </si>
  <si>
    <t xml:space="preserve">Allergen</t>
  </si>
  <si>
    <t xml:space="preserve">Stromkosten</t>
  </si>
  <si>
    <t xml:space="preserve">Stunden/Woche</t>
  </si>
  <si>
    <t xml:space="preserve">ProduktName</t>
  </si>
  <si>
    <t xml:space="preserve">gültig_bis</t>
  </si>
  <si>
    <t xml:space="preserve">PreisProkg</t>
  </si>
  <si>
    <t xml:space="preserve">Menge</t>
  </si>
  <si>
    <t xml:space="preserve">Datum</t>
  </si>
  <si>
    <t xml:space="preserve">Heizkosten</t>
  </si>
  <si>
    <t xml:space="preserve">Kündigungsdatum</t>
  </si>
  <si>
    <t xml:space="preserve">gültig_ab</t>
  </si>
  <si>
    <t xml:space="preserve">Bezeichnung</t>
  </si>
  <si>
    <t xml:space="preserve">Schichtende</t>
  </si>
  <si>
    <t xml:space="preserve">Kaltmiete</t>
  </si>
  <si>
    <t xml:space="preserve">Gehalt/Stunde</t>
  </si>
  <si>
    <t xml:space="preserve">Backzeit</t>
  </si>
  <si>
    <t xml:space="preserve">Schichtbeginn</t>
  </si>
  <si>
    <t xml:space="preserve">sonstNebenkosten</t>
  </si>
  <si>
    <t xml:space="preserve">Einstellungsdatum</t>
  </si>
  <si>
    <t xml:space="preserve">Autor</t>
  </si>
  <si>
    <t xml:space="preserve">qm</t>
  </si>
  <si>
    <t xml:space="preserve">Telefonnummer</t>
  </si>
  <si>
    <t xml:space="preserve">Stückzahl</t>
  </si>
  <si>
    <t xml:space="preserve">Arbeitsbereich</t>
  </si>
  <si>
    <t xml:space="preserve">AdresseID</t>
  </si>
  <si>
    <t xml:space="preserve">Straße</t>
  </si>
  <si>
    <t xml:space="preserve">PLZ</t>
  </si>
  <si>
    <t xml:space="preserve">Ort</t>
  </si>
  <si>
    <t xml:space="preserve">Hausnummer</t>
  </si>
  <si>
    <t xml:space="preserve">PreisProKg</t>
  </si>
  <si>
    <t xml:space="preserve">GrößeInQm</t>
  </si>
  <si>
    <t xml:space="preserve">Relation</t>
  </si>
  <si>
    <t xml:space="preserve">Feldname</t>
  </si>
  <si>
    <t xml:space="preserve">Datentyp</t>
  </si>
  <si>
    <t xml:space="preserve">Länge /
Genauigkeit</t>
  </si>
  <si>
    <t xml:space="preserve">Storage Bytes
(je Datensatz)</t>
  </si>
  <si>
    <t xml:space="preserve">PK</t>
  </si>
  <si>
    <t xml:space="preserve">FK</t>
  </si>
  <si>
    <t xml:space="preserve">IDENTITY</t>
  </si>
  <si>
    <t xml:space="preserve">Default</t>
  </si>
  <si>
    <t xml:space="preserve">Computed</t>
  </si>
  <si>
    <t xml:space="preserve">Index</t>
  </si>
  <si>
    <t xml:space="preserve">Unique</t>
  </si>
  <si>
    <t xml:space="preserve">NOT NULL</t>
  </si>
  <si>
    <t xml:space="preserve">CHECK</t>
  </si>
  <si>
    <t xml:space="preserve">integer</t>
  </si>
  <si>
    <t xml:space="preserve">nvarchar</t>
  </si>
  <si>
    <t xml:space="preserve">Decimal(7,2)</t>
  </si>
  <si>
    <t xml:space="preserve">datetime2</t>
  </si>
  <si>
    <t xml:space="preserve">char</t>
  </si>
  <si>
    <t xml:space="preserve">StundenProWoche</t>
  </si>
  <si>
    <t xml:space="preserve">Decimal(4,2)</t>
  </si>
  <si>
    <t xml:space="preserve">GehaltProStunde</t>
  </si>
  <si>
    <t xml:space="preserve">smallint</t>
  </si>
  <si>
    <t xml:space="preserve">tinyint</t>
  </si>
  <si>
    <t xml:space="preserve">boolean</t>
  </si>
  <si>
    <t xml:space="preserve">Decimal(5,2)</t>
  </si>
  <si>
    <t xml:space="preserve">date</t>
  </si>
  <si>
    <t xml:space="preserve">time</t>
  </si>
  <si>
    <t xml:space="preserve">varchar</t>
  </si>
  <si>
    <t xml:space="preserve">Speicherbedarfshochrechnung (Relationen)</t>
  </si>
  <si>
    <t xml:space="preserve">Bytes je Datensatz werden automatisch anhand des Relation-Namens aus Tabelle Speicherbedarfsermittlung summiert</t>
  </si>
  <si>
    <t xml:space="preserve">Relationen-Übersicht (Anz. DS ist je Relation unterschiedlich)</t>
  </si>
  <si>
    <t xml:space="preserve">Anz. DS 
Bestand</t>
  </si>
  <si>
    <t xml:space="preserve">Anz. DS 
Zuwachs (1 J.)</t>
  </si>
  <si>
    <t xml:space="preserve">Gesamt:
DS</t>
  </si>
  <si>
    <t xml:space="preserve">Bytes je 
Datensatz (1 DS)</t>
  </si>
  <si>
    <t xml:space="preserve">Speicherbedarf
gesamt (Bytes)</t>
  </si>
  <si>
    <t xml:space="preserve">KB (1 KB 
= 1024 Byte)</t>
  </si>
  <si>
    <t xml:space="preserve">MB</t>
  </si>
  <si>
    <t xml:space="preserve">GB</t>
  </si>
  <si>
    <t xml:space="preserve">Gesamt (alle Relationen)</t>
  </si>
  <si>
    <t xml:space="preserve">Na</t>
  </si>
  <si>
    <t xml:space="preserve">Aufschlag für Unvorhergesehenes
(ohnehin Reserve vorhanden, da der Füllgrad von varchar geschätzt nur etwa 40% betragen wird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</si>
</sst>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"/>
    <numFmt numFmtId="166" formatCode="0.00E+00"/>
    <numFmt numFmtId="167" formatCode="0.00\ %"/>
  </numFmts>
  <fonts count="19">
    <font>
      <sz val="1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2"/>
      <charset val="1"/>
    </font>
    <font>
      <u val="single"/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1"/>
      <color rgb="FFBFBFBF"/>
      <name val="Arial"/>
      <family val="0"/>
      <charset val="1"/>
    </font>
    <font>
      <b val="true"/>
      <sz val="11"/>
      <color rgb="FFFF6600"/>
      <name val="Arial"/>
      <family val="0"/>
      <charset val="1"/>
    </font>
    <font>
      <sz val="11"/>
      <color rgb="FF333333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4"/>
      <color rgb="FF2F5496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2F5496"/>
      <name val="Calibri"/>
      <family val="0"/>
      <charset val="1"/>
    </font>
    <font>
      <b val="true"/>
      <sz val="11"/>
      <color rgb="FFBFBFBF"/>
      <name val="Calibri"/>
      <family val="0"/>
      <charset val="1"/>
    </font>
    <font>
      <b val="true"/>
      <sz val="11"/>
      <color rgb="FFFF660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4C7DC"/>
        <bgColor rgb="FFBFBFBF"/>
      </patternFill>
    </fill>
    <fill>
      <patternFill patternType="solid">
        <fgColor rgb="FFA1467E"/>
        <bgColor rgb="FF993366"/>
      </patternFill>
    </fill>
    <fill>
      <patternFill patternType="solid">
        <fgColor rgb="FF2F5496"/>
        <bgColor rgb="FF6666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BFBFBF"/>
      </left>
      <right style="hair">
        <color rgb="FFBFBFBF"/>
      </right>
      <top style="hair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2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A1467E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8" activeCellId="0" sqref="F38"/>
    </sheetView>
  </sheetViews>
  <sheetFormatPr defaultColWidth="12.71484375" defaultRowHeight="12.7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3" style="1" width="18.43"/>
    <col collapsed="false" customWidth="true" hidden="false" outlineLevel="0" max="4" min="4" style="1" width="15.85"/>
    <col collapsed="false" customWidth="true" hidden="false" outlineLevel="0" max="5" min="5" style="1" width="12.43"/>
    <col collapsed="false" customWidth="true" hidden="false" outlineLevel="0" max="7" min="7" style="1" width="16.42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75" hidden="false" customHeight="fals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15</v>
      </c>
      <c r="H2" s="3" t="s">
        <v>17</v>
      </c>
      <c r="I2" s="4" t="s">
        <v>17</v>
      </c>
      <c r="J2" s="4" t="s">
        <v>11</v>
      </c>
      <c r="K2" s="3" t="s">
        <v>18</v>
      </c>
    </row>
    <row r="3" customFormat="false" ht="12.75" hidden="false" customHeight="false" outlineLevel="0" collapsed="false">
      <c r="A3" s="5" t="s">
        <v>19</v>
      </c>
      <c r="B3" s="4" t="s">
        <v>11</v>
      </c>
      <c r="C3" s="6" t="s">
        <v>14</v>
      </c>
      <c r="D3" s="5" t="s">
        <v>20</v>
      </c>
      <c r="E3" s="5" t="s">
        <v>21</v>
      </c>
      <c r="F3" s="5" t="s">
        <v>20</v>
      </c>
      <c r="G3" s="3" t="s">
        <v>22</v>
      </c>
      <c r="H3" s="5" t="s">
        <v>23</v>
      </c>
      <c r="I3" s="4" t="s">
        <v>22</v>
      </c>
      <c r="J3" s="4" t="s">
        <v>12</v>
      </c>
      <c r="K3" s="4" t="s">
        <v>11</v>
      </c>
    </row>
    <row r="4" customFormat="false" ht="12.75" hidden="false" customHeight="false" outlineLevel="0" collapsed="false">
      <c r="A4" s="7" t="s">
        <v>24</v>
      </c>
      <c r="B4" s="5" t="s">
        <v>25</v>
      </c>
      <c r="C4" s="5"/>
      <c r="D4" s="5" t="s">
        <v>26</v>
      </c>
      <c r="E4" s="5" t="s">
        <v>27</v>
      </c>
      <c r="F4" s="5"/>
      <c r="G4" s="5" t="s">
        <v>28</v>
      </c>
      <c r="H4" s="5" t="s">
        <v>29</v>
      </c>
      <c r="I4" s="4" t="s">
        <v>15</v>
      </c>
      <c r="J4" s="4" t="s">
        <v>15</v>
      </c>
      <c r="K4" s="4" t="s">
        <v>13</v>
      </c>
    </row>
    <row r="5" customFormat="false" ht="12.75" hidden="false" customHeight="false" outlineLevel="0" collapsed="false">
      <c r="A5" s="5" t="s">
        <v>30</v>
      </c>
      <c r="B5" s="5" t="s">
        <v>13</v>
      </c>
      <c r="C5" s="5"/>
      <c r="D5" s="5" t="s">
        <v>31</v>
      </c>
      <c r="E5" s="5" t="s">
        <v>32</v>
      </c>
      <c r="F5" s="5"/>
      <c r="G5" s="5" t="s">
        <v>33</v>
      </c>
      <c r="H5" s="5" t="s">
        <v>34</v>
      </c>
      <c r="I5" s="5" t="s">
        <v>35</v>
      </c>
      <c r="J5" s="5" t="s">
        <v>35</v>
      </c>
      <c r="K5" s="5" t="s">
        <v>36</v>
      </c>
    </row>
    <row r="6" customFormat="false" ht="12.75" hidden="false" customHeight="false" outlineLevel="0" collapsed="false">
      <c r="A6" s="5" t="s">
        <v>37</v>
      </c>
      <c r="B6" s="5"/>
      <c r="C6" s="5"/>
      <c r="D6" s="5" t="s">
        <v>38</v>
      </c>
      <c r="E6" s="6" t="s">
        <v>16</v>
      </c>
      <c r="F6" s="5"/>
      <c r="G6" s="5" t="s">
        <v>39</v>
      </c>
      <c r="H6" s="5" t="s">
        <v>40</v>
      </c>
      <c r="I6" s="5"/>
      <c r="J6" s="5"/>
      <c r="K6" s="5" t="s">
        <v>41</v>
      </c>
    </row>
    <row r="7" customFormat="false" ht="12.75" hidden="false" customHeight="false" outlineLevel="0" collapsed="false">
      <c r="A7" s="5" t="s">
        <v>42</v>
      </c>
      <c r="B7" s="5"/>
      <c r="C7" s="5"/>
      <c r="D7" s="5" t="s">
        <v>43</v>
      </c>
      <c r="E7" s="5"/>
      <c r="F7" s="5"/>
      <c r="G7" s="5" t="s">
        <v>44</v>
      </c>
      <c r="H7" s="5"/>
      <c r="I7" s="5"/>
      <c r="J7" s="5"/>
      <c r="K7" s="5" t="s">
        <v>45</v>
      </c>
    </row>
    <row r="8" customFormat="false" ht="12.75" hidden="false" customHeight="false" outlineLevel="0" collapsed="false">
      <c r="A8" s="5" t="s">
        <v>46</v>
      </c>
      <c r="B8" s="5"/>
      <c r="C8" s="5"/>
      <c r="D8" s="5" t="s">
        <v>47</v>
      </c>
      <c r="E8" s="5"/>
      <c r="F8" s="5"/>
      <c r="G8" s="5" t="s">
        <v>48</v>
      </c>
      <c r="H8" s="5"/>
      <c r="I8" s="5"/>
      <c r="J8" s="5"/>
    </row>
    <row r="9" customFormat="false" ht="12.75" hidden="false" customHeight="false" outlineLevel="0" collapsed="false">
      <c r="A9" s="5" t="s">
        <v>49</v>
      </c>
      <c r="B9" s="5"/>
      <c r="C9" s="5"/>
      <c r="D9" s="5" t="s">
        <v>50</v>
      </c>
      <c r="E9" s="5"/>
      <c r="F9" s="5"/>
      <c r="G9" s="5" t="s">
        <v>51</v>
      </c>
      <c r="H9" s="5"/>
      <c r="I9" s="5"/>
      <c r="J9" s="5"/>
    </row>
    <row r="10" customFormat="false" ht="12.75" hidden="false" customHeight="false" outlineLevel="0" collapsed="false">
      <c r="B10" s="5"/>
      <c r="C10" s="5"/>
      <c r="D10" s="7" t="s">
        <v>24</v>
      </c>
      <c r="E10" s="5"/>
      <c r="F10" s="5"/>
      <c r="G10" s="5"/>
      <c r="H10" s="5"/>
      <c r="I10" s="5"/>
      <c r="J10" s="5"/>
    </row>
    <row r="11" customFormat="false" ht="12.75" hidden="false" customHeight="false" outlineLevel="0" collapsed="false">
      <c r="B11" s="5"/>
      <c r="C11" s="5"/>
      <c r="D11" s="5" t="s">
        <v>52</v>
      </c>
      <c r="E11" s="5"/>
      <c r="G11" s="5"/>
      <c r="H11" s="5"/>
      <c r="I11" s="5"/>
    </row>
    <row r="12" customFormat="false" ht="12.75" hidden="false" customHeight="false" outlineLevel="0" collapsed="false">
      <c r="B12" s="5"/>
      <c r="C12" s="5"/>
      <c r="D12" s="5"/>
      <c r="E12" s="5"/>
      <c r="G12" s="5"/>
      <c r="H12" s="5"/>
      <c r="I12" s="5"/>
    </row>
    <row r="19" customFormat="false" ht="12.75" hidden="false" customHeight="false" outlineLevel="0" collapsed="false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2" t="s">
        <v>8</v>
      </c>
      <c r="J19" s="2" t="s">
        <v>9</v>
      </c>
      <c r="K19" s="2" t="s">
        <v>10</v>
      </c>
      <c r="L19" s="2" t="s">
        <v>24</v>
      </c>
    </row>
    <row r="20" customFormat="false" ht="12.75" hidden="false" customHeight="false" outlineLevel="0" collapsed="false">
      <c r="A20" s="3" t="s">
        <v>11</v>
      </c>
      <c r="B20" s="3" t="s">
        <v>12</v>
      </c>
      <c r="C20" s="3" t="s">
        <v>13</v>
      </c>
      <c r="D20" s="3" t="s">
        <v>14</v>
      </c>
      <c r="E20" s="3" t="s">
        <v>15</v>
      </c>
      <c r="F20" s="3" t="s">
        <v>16</v>
      </c>
      <c r="G20" s="3" t="s">
        <v>15</v>
      </c>
      <c r="H20" s="3" t="s">
        <v>17</v>
      </c>
      <c r="I20" s="4" t="s">
        <v>17</v>
      </c>
      <c r="J20" s="4" t="s">
        <v>11</v>
      </c>
      <c r="K20" s="3" t="s">
        <v>18</v>
      </c>
      <c r="L20" s="1" t="s">
        <v>53</v>
      </c>
    </row>
    <row r="21" customFormat="false" ht="12.75" hidden="false" customHeight="false" outlineLevel="0" collapsed="false">
      <c r="A21" s="5" t="s">
        <v>19</v>
      </c>
      <c r="B21" s="4" t="s">
        <v>11</v>
      </c>
      <c r="C21" s="6" t="s">
        <v>14</v>
      </c>
      <c r="D21" s="5" t="s">
        <v>20</v>
      </c>
      <c r="E21" s="5" t="s">
        <v>21</v>
      </c>
      <c r="F21" s="5" t="s">
        <v>20</v>
      </c>
      <c r="G21" s="3" t="s">
        <v>22</v>
      </c>
      <c r="H21" s="5" t="s">
        <v>23</v>
      </c>
      <c r="I21" s="4" t="s">
        <v>22</v>
      </c>
      <c r="J21" s="4" t="s">
        <v>12</v>
      </c>
      <c r="K21" s="4" t="s">
        <v>11</v>
      </c>
      <c r="L21" s="7" t="s">
        <v>54</v>
      </c>
    </row>
    <row r="22" customFormat="false" ht="12.75" hidden="false" customHeight="false" outlineLevel="0" collapsed="false">
      <c r="A22" s="7" t="s">
        <v>53</v>
      </c>
      <c r="B22" s="5" t="s">
        <v>25</v>
      </c>
      <c r="C22" s="5"/>
      <c r="D22" s="5" t="s">
        <v>26</v>
      </c>
      <c r="E22" s="5" t="s">
        <v>27</v>
      </c>
      <c r="F22" s="5"/>
      <c r="G22" s="5" t="s">
        <v>28</v>
      </c>
      <c r="H22" s="5" t="s">
        <v>29</v>
      </c>
      <c r="I22" s="4" t="s">
        <v>15</v>
      </c>
      <c r="J22" s="4" t="s">
        <v>15</v>
      </c>
      <c r="K22" s="4" t="s">
        <v>13</v>
      </c>
      <c r="L22" s="7" t="s">
        <v>55</v>
      </c>
    </row>
    <row r="23" customFormat="false" ht="12.75" hidden="false" customHeight="false" outlineLevel="0" collapsed="false">
      <c r="A23" s="5" t="s">
        <v>30</v>
      </c>
      <c r="B23" s="5" t="s">
        <v>13</v>
      </c>
      <c r="C23" s="5"/>
      <c r="D23" s="5" t="s">
        <v>31</v>
      </c>
      <c r="E23" s="5" t="s">
        <v>32</v>
      </c>
      <c r="F23" s="5"/>
      <c r="G23" s="5" t="s">
        <v>33</v>
      </c>
      <c r="H23" s="5" t="s">
        <v>34</v>
      </c>
      <c r="I23" s="5" t="s">
        <v>35</v>
      </c>
      <c r="J23" s="5" t="s">
        <v>35</v>
      </c>
      <c r="K23" s="5" t="s">
        <v>36</v>
      </c>
      <c r="L23" s="7" t="s">
        <v>56</v>
      </c>
    </row>
    <row r="24" customFormat="false" ht="12.75" hidden="false" customHeight="false" outlineLevel="0" collapsed="false">
      <c r="A24" s="5" t="s">
        <v>37</v>
      </c>
      <c r="B24" s="5"/>
      <c r="C24" s="5"/>
      <c r="D24" s="5" t="s">
        <v>38</v>
      </c>
      <c r="E24" s="6" t="s">
        <v>16</v>
      </c>
      <c r="F24" s="5"/>
      <c r="G24" s="5" t="s">
        <v>39</v>
      </c>
      <c r="H24" s="5" t="s">
        <v>40</v>
      </c>
      <c r="I24" s="5"/>
      <c r="J24" s="5"/>
      <c r="K24" s="5" t="s">
        <v>41</v>
      </c>
      <c r="L24" s="7" t="s">
        <v>57</v>
      </c>
    </row>
    <row r="25" customFormat="false" ht="12.75" hidden="false" customHeight="false" outlineLevel="0" collapsed="false">
      <c r="A25" s="5" t="s">
        <v>42</v>
      </c>
      <c r="B25" s="5"/>
      <c r="C25" s="5"/>
      <c r="D25" s="5" t="s">
        <v>43</v>
      </c>
      <c r="E25" s="5"/>
      <c r="F25" s="5"/>
      <c r="G25" s="5" t="s">
        <v>44</v>
      </c>
      <c r="H25" s="5"/>
      <c r="I25" s="5"/>
      <c r="J25" s="5"/>
      <c r="K25" s="5" t="s">
        <v>45</v>
      </c>
    </row>
    <row r="26" customFormat="false" ht="12.75" hidden="false" customHeight="false" outlineLevel="0" collapsed="false">
      <c r="A26" s="5" t="s">
        <v>46</v>
      </c>
      <c r="B26" s="5"/>
      <c r="C26" s="5"/>
      <c r="D26" s="5" t="s">
        <v>47</v>
      </c>
      <c r="E26" s="5"/>
      <c r="F26" s="8"/>
      <c r="G26" s="5" t="s">
        <v>48</v>
      </c>
      <c r="H26" s="5"/>
      <c r="I26" s="5"/>
      <c r="J26" s="5"/>
    </row>
    <row r="27" customFormat="false" ht="12.75" hidden="false" customHeight="false" outlineLevel="0" collapsed="false">
      <c r="A27" s="5" t="s">
        <v>49</v>
      </c>
      <c r="B27" s="5"/>
      <c r="C27" s="5"/>
      <c r="D27" s="5" t="s">
        <v>50</v>
      </c>
      <c r="E27" s="5"/>
      <c r="F27" s="5"/>
      <c r="G27" s="5" t="s">
        <v>51</v>
      </c>
      <c r="H27" s="5"/>
      <c r="I27" s="5"/>
      <c r="J27" s="5"/>
    </row>
    <row r="28" customFormat="false" ht="12.75" hidden="false" customHeight="false" outlineLevel="0" collapsed="false">
      <c r="B28" s="5"/>
      <c r="C28" s="5"/>
      <c r="D28" s="7" t="s">
        <v>53</v>
      </c>
      <c r="E28" s="5"/>
      <c r="F28" s="5"/>
      <c r="G28" s="5"/>
      <c r="H28" s="5"/>
      <c r="I28" s="5"/>
      <c r="J28" s="5"/>
    </row>
    <row r="29" customFormat="false" ht="12.75" hidden="false" customHeight="false" outlineLevel="0" collapsed="false">
      <c r="B29" s="5"/>
      <c r="C29" s="5"/>
      <c r="D29" s="5" t="s">
        <v>52</v>
      </c>
      <c r="E29" s="5"/>
      <c r="G29" s="5"/>
      <c r="H29" s="9"/>
      <c r="I29" s="5"/>
    </row>
    <row r="30" customFormat="false" ht="12.75" hidden="false" customHeight="false" outlineLevel="0" collapsed="false">
      <c r="B30" s="5"/>
      <c r="C30" s="5"/>
      <c r="E30" s="5"/>
      <c r="G30" s="5"/>
      <c r="H30" s="5"/>
      <c r="I30" s="5"/>
    </row>
    <row r="32" customFormat="false" ht="12.75" hidden="false" customHeight="false" outlineLevel="0" collapsed="false">
      <c r="D32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&amp;C&amp;12&amp;A</oddHeader>
    <oddFooter>&amp;C&amp;12Page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6"/>
  <sheetViews>
    <sheetView showFormulas="false" showGridLines="true" showRowColHeaders="true" showZeros="true" rightToLeft="false" tabSelected="true" showOutlineSymbols="true" defaultGridColor="true" view="normal" topLeftCell="A52" colorId="64" zoomScale="100" zoomScaleNormal="100" zoomScalePageLayoutView="100" workbookViewId="0">
      <selection pane="topLeft" activeCell="L92" activeCellId="0" sqref="L92"/>
    </sheetView>
  </sheetViews>
  <sheetFormatPr defaultColWidth="12.71484375" defaultRowHeight="12.75" customHeight="false" zeroHeight="false" outlineLevelRow="0" outlineLevelCol="0"/>
  <cols>
    <col collapsed="false" customWidth="true" hidden="false" outlineLevel="0" max="1" min="1" style="5" width="17.14"/>
    <col collapsed="false" customWidth="true" hidden="false" outlineLevel="0" max="2" min="2" style="5" width="17.29"/>
    <col collapsed="false" customWidth="true" hidden="false" outlineLevel="0" max="3" min="3" style="5" width="16.71"/>
    <col collapsed="false" customWidth="true" hidden="false" outlineLevel="0" max="4" min="4" style="5" width="18.85"/>
    <col collapsed="false" customWidth="true" hidden="false" outlineLevel="0" max="5" min="5" style="5" width="17.85"/>
    <col collapsed="false" customWidth="true" hidden="false" outlineLevel="0" max="7" min="7" style="5" width="20"/>
    <col collapsed="false" customWidth="true" hidden="false" outlineLevel="0" max="8" min="8" style="5" width="13.71"/>
    <col collapsed="false" customWidth="true" hidden="false" outlineLevel="0" max="9" min="9" style="5" width="6.1"/>
    <col collapsed="false" customWidth="true" hidden="false" outlineLevel="0" max="10" min="10" style="1" width="8.1"/>
    <col collapsed="false" customWidth="true" hidden="false" outlineLevel="0" max="11" min="11" style="1" width="8.9"/>
    <col collapsed="false" customWidth="false" hidden="false" outlineLevel="0" max="12" min="12" style="9" width="12.71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0" t="s">
        <v>24</v>
      </c>
    </row>
    <row r="2" customFormat="false" ht="12.75" hidden="false" customHeight="fals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15</v>
      </c>
      <c r="H2" s="3" t="s">
        <v>17</v>
      </c>
      <c r="I2" s="4" t="s">
        <v>17</v>
      </c>
      <c r="J2" s="4" t="s">
        <v>11</v>
      </c>
      <c r="K2" s="3" t="s">
        <v>18</v>
      </c>
      <c r="L2" s="3" t="s">
        <v>53</v>
      </c>
    </row>
    <row r="3" customFormat="false" ht="12.75" hidden="false" customHeight="false" outlineLevel="0" collapsed="false">
      <c r="A3" s="5" t="s">
        <v>19</v>
      </c>
      <c r="B3" s="4" t="s">
        <v>11</v>
      </c>
      <c r="C3" s="6" t="s">
        <v>14</v>
      </c>
      <c r="D3" s="5" t="s">
        <v>20</v>
      </c>
      <c r="E3" s="5" t="s">
        <v>21</v>
      </c>
      <c r="F3" s="5" t="s">
        <v>20</v>
      </c>
      <c r="G3" s="3" t="s">
        <v>22</v>
      </c>
      <c r="H3" s="5" t="s">
        <v>23</v>
      </c>
      <c r="I3" s="4" t="s">
        <v>22</v>
      </c>
      <c r="J3" s="4" t="s">
        <v>12</v>
      </c>
      <c r="K3" s="4" t="s">
        <v>11</v>
      </c>
      <c r="L3" s="1" t="s">
        <v>54</v>
      </c>
    </row>
    <row r="4" customFormat="false" ht="12.75" hidden="false" customHeight="false" outlineLevel="0" collapsed="false">
      <c r="A4" s="6" t="s">
        <v>53</v>
      </c>
      <c r="B4" s="5" t="s">
        <v>25</v>
      </c>
      <c r="D4" s="5" t="s">
        <v>26</v>
      </c>
      <c r="E4" s="5" t="s">
        <v>27</v>
      </c>
      <c r="F4" s="5"/>
      <c r="G4" s="5" t="s">
        <v>28</v>
      </c>
      <c r="H4" s="5" t="s">
        <v>29</v>
      </c>
      <c r="I4" s="4" t="s">
        <v>15</v>
      </c>
      <c r="J4" s="4" t="s">
        <v>15</v>
      </c>
      <c r="K4" s="4" t="s">
        <v>13</v>
      </c>
      <c r="L4" s="1" t="s">
        <v>55</v>
      </c>
    </row>
    <row r="5" customFormat="false" ht="12.75" hidden="false" customHeight="false" outlineLevel="0" collapsed="false">
      <c r="A5" s="5" t="s">
        <v>30</v>
      </c>
      <c r="B5" s="6" t="s">
        <v>13</v>
      </c>
      <c r="D5" s="5" t="s">
        <v>31</v>
      </c>
      <c r="E5" s="5" t="s">
        <v>32</v>
      </c>
      <c r="F5" s="5"/>
      <c r="G5" s="5" t="s">
        <v>33</v>
      </c>
      <c r="H5" s="5" t="s">
        <v>58</v>
      </c>
      <c r="I5" s="5" t="s">
        <v>35</v>
      </c>
      <c r="J5" s="5" t="s">
        <v>35</v>
      </c>
      <c r="K5" s="5" t="s">
        <v>36</v>
      </c>
      <c r="L5" s="1" t="s">
        <v>56</v>
      </c>
    </row>
    <row r="6" customFormat="false" ht="12.75" hidden="false" customHeight="false" outlineLevel="0" collapsed="false">
      <c r="A6" s="5" t="s">
        <v>37</v>
      </c>
      <c r="D6" s="5" t="s">
        <v>38</v>
      </c>
      <c r="E6" s="6" t="s">
        <v>16</v>
      </c>
      <c r="F6" s="5"/>
      <c r="G6" s="5" t="s">
        <v>39</v>
      </c>
      <c r="H6" s="5" t="s">
        <v>40</v>
      </c>
      <c r="J6" s="5"/>
      <c r="K6" s="5" t="s">
        <v>41</v>
      </c>
      <c r="L6" s="1" t="s">
        <v>57</v>
      </c>
    </row>
    <row r="7" customFormat="false" ht="12.75" hidden="false" customHeight="false" outlineLevel="0" collapsed="false">
      <c r="A7" s="5" t="s">
        <v>42</v>
      </c>
      <c r="D7" s="5" t="s">
        <v>43</v>
      </c>
      <c r="F7" s="5"/>
      <c r="G7" s="5" t="s">
        <v>44</v>
      </c>
      <c r="J7" s="5"/>
      <c r="K7" s="5" t="s">
        <v>45</v>
      </c>
    </row>
    <row r="8" customFormat="false" ht="12.75" hidden="false" customHeight="false" outlineLevel="0" collapsed="false">
      <c r="A8" s="5" t="s">
        <v>46</v>
      </c>
      <c r="D8" s="5" t="s">
        <v>47</v>
      </c>
      <c r="F8" s="5"/>
      <c r="G8" s="5" t="s">
        <v>48</v>
      </c>
      <c r="J8" s="5"/>
    </row>
    <row r="9" customFormat="false" ht="12.75" hidden="false" customHeight="false" outlineLevel="0" collapsed="false">
      <c r="A9" s="5" t="s">
        <v>59</v>
      </c>
      <c r="D9" s="5" t="s">
        <v>50</v>
      </c>
      <c r="F9" s="5" t="s">
        <v>51</v>
      </c>
      <c r="G9" s="5" t="s">
        <v>51</v>
      </c>
      <c r="J9" s="5"/>
    </row>
    <row r="10" customFormat="false" ht="12.75" hidden="false" customHeight="false" outlineLevel="0" collapsed="false">
      <c r="D10" s="6" t="s">
        <v>53</v>
      </c>
      <c r="F10" s="5"/>
      <c r="J10" s="5"/>
    </row>
    <row r="11" customFormat="false" ht="12.75" hidden="false" customHeight="false" outlineLevel="0" collapsed="false">
      <c r="D11" s="5" t="s">
        <v>52</v>
      </c>
    </row>
    <row r="17" customFormat="false" ht="27" hidden="false" customHeight="false" outlineLevel="0" collapsed="false">
      <c r="A17" s="11" t="s">
        <v>60</v>
      </c>
      <c r="B17" s="11" t="s">
        <v>61</v>
      </c>
      <c r="C17" s="11" t="s">
        <v>62</v>
      </c>
      <c r="D17" s="12" t="s">
        <v>63</v>
      </c>
      <c r="E17" s="13" t="s">
        <v>64</v>
      </c>
      <c r="F17" s="11" t="s">
        <v>65</v>
      </c>
      <c r="G17" s="11" t="s">
        <v>66</v>
      </c>
      <c r="H17" s="11" t="s">
        <v>67</v>
      </c>
      <c r="I17" s="11" t="s">
        <v>68</v>
      </c>
      <c r="J17" s="11" t="s">
        <v>69</v>
      </c>
      <c r="K17" s="11" t="s">
        <v>70</v>
      </c>
      <c r="L17" s="11" t="s">
        <v>71</v>
      </c>
      <c r="M17" s="11" t="s">
        <v>72</v>
      </c>
      <c r="N17" s="11" t="s">
        <v>73</v>
      </c>
    </row>
    <row r="18" customFormat="false" ht="13.8" hidden="false" customHeight="false" outlineLevel="0" collapsed="false">
      <c r="A18" s="14" t="s">
        <v>0</v>
      </c>
      <c r="B18" s="15" t="s">
        <v>11</v>
      </c>
      <c r="C18" s="16" t="s">
        <v>74</v>
      </c>
      <c r="E18" s="17" t="n">
        <v>4</v>
      </c>
      <c r="F18" s="18" t="n">
        <v>1</v>
      </c>
      <c r="G18" s="18"/>
      <c r="H18" s="18" t="n">
        <v>1</v>
      </c>
      <c r="I18" s="19"/>
      <c r="J18" s="19"/>
      <c r="K18" s="19"/>
      <c r="L18" s="18"/>
      <c r="M18" s="18" t="n">
        <v>1</v>
      </c>
      <c r="N18" s="19"/>
    </row>
    <row r="19" customFormat="false" ht="13.8" hidden="false" customHeight="false" outlineLevel="0" collapsed="false">
      <c r="A19" s="14" t="s">
        <v>0</v>
      </c>
      <c r="B19" s="5" t="s">
        <v>19</v>
      </c>
      <c r="C19" s="16" t="s">
        <v>75</v>
      </c>
      <c r="D19" s="20" t="n">
        <v>50</v>
      </c>
      <c r="E19" s="17" t="n">
        <v>102</v>
      </c>
      <c r="F19" s="18"/>
      <c r="G19" s="18"/>
      <c r="H19" s="18"/>
      <c r="I19" s="19"/>
      <c r="J19" s="19"/>
      <c r="K19" s="19"/>
      <c r="L19" s="18" t="n">
        <v>1</v>
      </c>
      <c r="M19" s="18" t="n">
        <v>1</v>
      </c>
      <c r="N19" s="19"/>
    </row>
    <row r="20" customFormat="false" ht="13.8" hidden="false" customHeight="false" outlineLevel="0" collapsed="false">
      <c r="A20" s="14" t="s">
        <v>0</v>
      </c>
      <c r="B20" s="6" t="s">
        <v>53</v>
      </c>
      <c r="C20" s="16" t="s">
        <v>74</v>
      </c>
      <c r="D20" s="20"/>
      <c r="E20" s="17" t="n">
        <v>4</v>
      </c>
      <c r="F20" s="18"/>
      <c r="G20" s="18" t="n">
        <v>1</v>
      </c>
      <c r="H20" s="18"/>
      <c r="I20" s="19"/>
      <c r="J20" s="19"/>
      <c r="K20" s="19"/>
      <c r="L20" s="18"/>
      <c r="M20" s="18"/>
      <c r="N20" s="19"/>
    </row>
    <row r="21" customFormat="false" ht="13.8" hidden="false" customHeight="false" outlineLevel="0" collapsed="false">
      <c r="A21" s="14" t="s">
        <v>0</v>
      </c>
      <c r="B21" s="5" t="s">
        <v>30</v>
      </c>
      <c r="C21" s="16" t="s">
        <v>76</v>
      </c>
      <c r="D21" s="20" t="n">
        <v>7.2</v>
      </c>
      <c r="E21" s="17" t="n">
        <v>5</v>
      </c>
      <c r="F21" s="18"/>
      <c r="G21" s="18"/>
      <c r="H21" s="18"/>
      <c r="I21" s="19"/>
      <c r="J21" s="19"/>
      <c r="K21" s="19"/>
      <c r="L21" s="18"/>
      <c r="M21" s="18" t="n">
        <v>1</v>
      </c>
      <c r="N21" s="19"/>
    </row>
    <row r="22" customFormat="false" ht="13.8" hidden="false" customHeight="false" outlineLevel="0" collapsed="false">
      <c r="A22" s="14" t="s">
        <v>0</v>
      </c>
      <c r="B22" s="5" t="s">
        <v>37</v>
      </c>
      <c r="C22" s="16" t="s">
        <v>76</v>
      </c>
      <c r="D22" s="20" t="n">
        <v>7.2</v>
      </c>
      <c r="E22" s="17" t="n">
        <v>5</v>
      </c>
      <c r="F22" s="18"/>
      <c r="G22" s="18"/>
      <c r="H22" s="18"/>
      <c r="I22" s="19"/>
      <c r="J22" s="19"/>
      <c r="K22" s="19"/>
      <c r="L22" s="18"/>
      <c r="M22" s="18" t="n">
        <v>1</v>
      </c>
      <c r="N22" s="19"/>
    </row>
    <row r="23" customFormat="false" ht="13.8" hidden="false" customHeight="false" outlineLevel="0" collapsed="false">
      <c r="A23" s="14" t="s">
        <v>0</v>
      </c>
      <c r="B23" s="5" t="s">
        <v>42</v>
      </c>
      <c r="C23" s="16" t="s">
        <v>76</v>
      </c>
      <c r="D23" s="20" t="n">
        <v>7.2</v>
      </c>
      <c r="E23" s="17" t="n">
        <v>5</v>
      </c>
      <c r="G23" s="18"/>
      <c r="H23" s="18"/>
      <c r="I23" s="19"/>
      <c r="J23" s="19"/>
      <c r="K23" s="19"/>
      <c r="L23" s="18"/>
      <c r="M23" s="18" t="n">
        <v>1</v>
      </c>
      <c r="N23" s="19"/>
    </row>
    <row r="24" customFormat="false" ht="13.8" hidden="false" customHeight="false" outlineLevel="0" collapsed="false">
      <c r="A24" s="14" t="s">
        <v>0</v>
      </c>
      <c r="B24" s="5" t="s">
        <v>46</v>
      </c>
      <c r="C24" s="16" t="s">
        <v>76</v>
      </c>
      <c r="D24" s="20" t="n">
        <v>7.2</v>
      </c>
      <c r="E24" s="17" t="n">
        <v>5</v>
      </c>
      <c r="F24" s="18"/>
      <c r="G24" s="18"/>
      <c r="H24" s="18"/>
      <c r="I24" s="19"/>
      <c r="J24" s="19"/>
      <c r="K24" s="19"/>
      <c r="L24" s="18"/>
      <c r="M24" s="18" t="n">
        <v>1</v>
      </c>
      <c r="N24" s="19"/>
    </row>
    <row r="25" customFormat="false" ht="13.8" hidden="false" customHeight="false" outlineLevel="0" collapsed="false">
      <c r="A25" s="14" t="s">
        <v>0</v>
      </c>
      <c r="B25" s="5" t="s">
        <v>59</v>
      </c>
      <c r="C25" s="16" t="s">
        <v>76</v>
      </c>
      <c r="D25" s="5" t="n">
        <v>7.2</v>
      </c>
      <c r="E25" s="17" t="n">
        <v>5</v>
      </c>
      <c r="F25" s="18"/>
      <c r="G25" s="18"/>
      <c r="H25" s="18"/>
      <c r="I25" s="19"/>
      <c r="J25" s="19"/>
      <c r="K25" s="19"/>
      <c r="L25" s="18"/>
      <c r="M25" s="18" t="n">
        <v>1</v>
      </c>
      <c r="N25" s="19"/>
    </row>
    <row r="26" customFormat="false" ht="13.8" hidden="false" customHeight="false" outlineLevel="0" collapsed="false">
      <c r="A26" s="21" t="s">
        <v>1</v>
      </c>
      <c r="B26" s="3" t="s">
        <v>12</v>
      </c>
      <c r="C26" s="16" t="s">
        <v>77</v>
      </c>
      <c r="E26" s="17" t="n">
        <v>8</v>
      </c>
      <c r="F26" s="18" t="n">
        <v>1</v>
      </c>
      <c r="G26" s="18"/>
      <c r="H26" s="18" t="n">
        <v>1</v>
      </c>
      <c r="I26" s="19"/>
      <c r="J26" s="19"/>
      <c r="K26" s="19"/>
      <c r="L26" s="18"/>
      <c r="M26" s="18" t="n">
        <v>1</v>
      </c>
      <c r="N26" s="19"/>
    </row>
    <row r="27" customFormat="false" ht="13.8" hidden="false" customHeight="false" outlineLevel="0" collapsed="false">
      <c r="A27" s="21" t="s">
        <v>1</v>
      </c>
      <c r="B27" s="4" t="s">
        <v>11</v>
      </c>
      <c r="C27" s="16" t="s">
        <v>74</v>
      </c>
      <c r="E27" s="22" t="n">
        <v>4</v>
      </c>
      <c r="F27" s="18" t="n">
        <v>1</v>
      </c>
      <c r="G27" s="18" t="n">
        <v>1</v>
      </c>
      <c r="H27" s="18" t="n">
        <v>1</v>
      </c>
      <c r="I27" s="19"/>
      <c r="J27" s="19"/>
      <c r="K27" s="19"/>
      <c r="L27" s="18"/>
      <c r="M27" s="18" t="n">
        <v>1</v>
      </c>
      <c r="N27" s="19"/>
    </row>
    <row r="28" customFormat="false" ht="13.8" hidden="false" customHeight="false" outlineLevel="0" collapsed="false">
      <c r="A28" s="21" t="s">
        <v>1</v>
      </c>
      <c r="B28" s="5" t="s">
        <v>25</v>
      </c>
      <c r="C28" s="16" t="s">
        <v>78</v>
      </c>
      <c r="D28" s="5" t="n">
        <v>1</v>
      </c>
      <c r="E28" s="17" t="n">
        <v>1</v>
      </c>
      <c r="F28" s="18"/>
      <c r="G28" s="18"/>
      <c r="H28" s="18"/>
      <c r="I28" s="19"/>
      <c r="J28" s="19"/>
      <c r="K28" s="19"/>
      <c r="L28" s="18"/>
      <c r="M28" s="18" t="n">
        <v>1</v>
      </c>
      <c r="N28" s="19"/>
    </row>
    <row r="29" customFormat="false" ht="13.8" hidden="false" customHeight="false" outlineLevel="0" collapsed="false">
      <c r="A29" s="21" t="s">
        <v>1</v>
      </c>
      <c r="B29" s="6" t="s">
        <v>13</v>
      </c>
      <c r="C29" s="16" t="s">
        <v>74</v>
      </c>
      <c r="E29" s="23" t="n">
        <v>4</v>
      </c>
      <c r="G29" s="18" t="n">
        <v>1</v>
      </c>
      <c r="H29" s="9" t="n">
        <v>1</v>
      </c>
      <c r="I29" s="19"/>
      <c r="J29" s="19"/>
      <c r="K29" s="19"/>
      <c r="L29" s="18"/>
      <c r="M29" s="18" t="n">
        <v>1</v>
      </c>
      <c r="N29" s="19"/>
    </row>
    <row r="30" customFormat="false" ht="13.8" hidden="false" customHeight="false" outlineLevel="0" collapsed="false">
      <c r="A30" s="21" t="s">
        <v>2</v>
      </c>
      <c r="B30" s="3" t="s">
        <v>13</v>
      </c>
      <c r="C30" s="16" t="s">
        <v>74</v>
      </c>
      <c r="E30" s="22" t="n">
        <v>4</v>
      </c>
      <c r="F30" s="18" t="n">
        <v>1</v>
      </c>
      <c r="G30" s="18"/>
      <c r="H30" s="18" t="n">
        <v>1</v>
      </c>
      <c r="I30" s="19"/>
      <c r="J30" s="19"/>
      <c r="K30" s="19"/>
      <c r="L30" s="18"/>
      <c r="M30" s="18" t="n">
        <v>1</v>
      </c>
      <c r="N30" s="19"/>
    </row>
    <row r="31" customFormat="false" ht="13.8" hidden="false" customHeight="false" outlineLevel="0" collapsed="false">
      <c r="A31" s="21" t="s">
        <v>2</v>
      </c>
      <c r="B31" s="6" t="s">
        <v>14</v>
      </c>
      <c r="C31" s="16" t="s">
        <v>74</v>
      </c>
      <c r="E31" s="23" t="n">
        <v>4</v>
      </c>
      <c r="G31" s="18" t="n">
        <v>1</v>
      </c>
      <c r="I31" s="19"/>
      <c r="J31" s="19"/>
      <c r="K31" s="19"/>
      <c r="L31" s="18" t="n">
        <v>1</v>
      </c>
      <c r="M31" s="18" t="n">
        <v>1</v>
      </c>
      <c r="N31" s="19"/>
    </row>
    <row r="32" customFormat="false" ht="13.8" hidden="false" customHeight="false" outlineLevel="0" collapsed="false">
      <c r="A32" s="21" t="s">
        <v>3</v>
      </c>
      <c r="B32" s="3" t="s">
        <v>14</v>
      </c>
      <c r="C32" s="16" t="s">
        <v>74</v>
      </c>
      <c r="E32" s="22" t="n">
        <v>4</v>
      </c>
      <c r="F32" s="18" t="n">
        <v>1</v>
      </c>
      <c r="G32" s="18"/>
      <c r="H32" s="18" t="n">
        <v>1</v>
      </c>
      <c r="I32" s="19"/>
      <c r="J32" s="19"/>
      <c r="K32" s="19"/>
      <c r="M32" s="18" t="n">
        <v>1</v>
      </c>
      <c r="N32" s="19"/>
    </row>
    <row r="33" customFormat="false" ht="13.8" hidden="false" customHeight="false" outlineLevel="0" collapsed="false">
      <c r="A33" s="21" t="s">
        <v>3</v>
      </c>
      <c r="B33" s="5" t="s">
        <v>20</v>
      </c>
      <c r="C33" s="16" t="s">
        <v>75</v>
      </c>
      <c r="D33" s="20" t="n">
        <v>50</v>
      </c>
      <c r="E33" s="17" t="n">
        <f aca="false">2*D33+2</f>
        <v>102</v>
      </c>
      <c r="F33" s="18"/>
      <c r="G33" s="18"/>
      <c r="H33" s="18"/>
      <c r="I33" s="19"/>
      <c r="J33" s="19"/>
      <c r="K33" s="19"/>
      <c r="M33" s="18" t="n">
        <v>1</v>
      </c>
      <c r="N33" s="19"/>
    </row>
    <row r="34" customFormat="false" ht="13.8" hidden="false" customHeight="false" outlineLevel="0" collapsed="false">
      <c r="A34" s="21" t="s">
        <v>3</v>
      </c>
      <c r="B34" s="5" t="s">
        <v>26</v>
      </c>
      <c r="C34" s="16" t="s">
        <v>78</v>
      </c>
      <c r="D34" s="20" t="n">
        <v>1</v>
      </c>
      <c r="E34" s="17" t="n">
        <v>1</v>
      </c>
      <c r="F34" s="18"/>
      <c r="G34" s="18"/>
      <c r="H34" s="18"/>
      <c r="I34" s="19"/>
      <c r="J34" s="19"/>
      <c r="K34" s="19"/>
      <c r="M34" s="18"/>
      <c r="N34" s="19"/>
    </row>
    <row r="35" customFormat="false" ht="13.8" hidden="false" customHeight="false" outlineLevel="0" collapsed="false">
      <c r="A35" s="21" t="s">
        <v>3</v>
      </c>
      <c r="B35" s="5" t="s">
        <v>79</v>
      </c>
      <c r="C35" s="16" t="s">
        <v>80</v>
      </c>
      <c r="D35" s="5" t="n">
        <v>4.2</v>
      </c>
      <c r="E35" s="17" t="n">
        <v>5</v>
      </c>
      <c r="F35" s="18"/>
      <c r="G35" s="18"/>
      <c r="H35" s="18"/>
      <c r="I35" s="19"/>
      <c r="J35" s="19"/>
      <c r="K35" s="19"/>
      <c r="M35" s="18" t="n">
        <v>1</v>
      </c>
      <c r="N35" s="19"/>
    </row>
    <row r="36" customFormat="false" ht="13.8" hidden="false" customHeight="false" outlineLevel="0" collapsed="false">
      <c r="A36" s="21" t="s">
        <v>3</v>
      </c>
      <c r="B36" s="5" t="s">
        <v>38</v>
      </c>
      <c r="C36" s="16" t="s">
        <v>77</v>
      </c>
      <c r="E36" s="17" t="n">
        <v>8</v>
      </c>
      <c r="F36" s="18"/>
      <c r="G36" s="18"/>
      <c r="H36" s="18"/>
      <c r="I36" s="19"/>
      <c r="J36" s="19"/>
      <c r="K36" s="19"/>
      <c r="M36" s="18"/>
      <c r="N36" s="19"/>
    </row>
    <row r="37" customFormat="false" ht="13.8" hidden="false" customHeight="false" outlineLevel="0" collapsed="false">
      <c r="A37" s="21" t="s">
        <v>3</v>
      </c>
      <c r="B37" s="5" t="s">
        <v>81</v>
      </c>
      <c r="C37" s="16" t="s">
        <v>80</v>
      </c>
      <c r="D37" s="5" t="n">
        <v>4.2</v>
      </c>
      <c r="E37" s="17" t="n">
        <v>5</v>
      </c>
      <c r="F37" s="18"/>
      <c r="G37" s="18"/>
      <c r="H37" s="18"/>
      <c r="I37" s="19"/>
      <c r="J37" s="19"/>
      <c r="K37" s="19"/>
      <c r="M37" s="18" t="n">
        <v>1</v>
      </c>
      <c r="N37" s="19"/>
    </row>
    <row r="38" customFormat="false" ht="13.8" hidden="false" customHeight="false" outlineLevel="0" collapsed="false">
      <c r="A38" s="21" t="s">
        <v>3</v>
      </c>
      <c r="B38" s="5" t="s">
        <v>47</v>
      </c>
      <c r="C38" s="16" t="s">
        <v>77</v>
      </c>
      <c r="E38" s="17" t="n">
        <v>8</v>
      </c>
      <c r="F38" s="18"/>
      <c r="G38" s="18"/>
      <c r="H38" s="18"/>
      <c r="I38" s="19"/>
      <c r="J38" s="19"/>
      <c r="K38" s="19"/>
      <c r="M38" s="18" t="n">
        <v>1</v>
      </c>
      <c r="N38" s="19"/>
    </row>
    <row r="39" customFormat="false" ht="13.8" hidden="false" customHeight="false" outlineLevel="0" collapsed="false">
      <c r="A39" s="21" t="s">
        <v>3</v>
      </c>
      <c r="B39" s="5" t="s">
        <v>50</v>
      </c>
      <c r="C39" s="16" t="s">
        <v>75</v>
      </c>
      <c r="D39" s="5" t="n">
        <v>12</v>
      </c>
      <c r="E39" s="17" t="n">
        <f aca="false">2*D39+2</f>
        <v>26</v>
      </c>
      <c r="F39" s="18"/>
      <c r="G39" s="18"/>
      <c r="H39" s="18"/>
      <c r="I39" s="19"/>
      <c r="J39" s="19"/>
      <c r="K39" s="19"/>
      <c r="M39" s="18" t="n">
        <v>1</v>
      </c>
      <c r="N39" s="19"/>
    </row>
    <row r="40" customFormat="false" ht="13.8" hidden="false" customHeight="false" outlineLevel="0" collapsed="false">
      <c r="A40" s="21" t="s">
        <v>3</v>
      </c>
      <c r="B40" s="6" t="s">
        <v>53</v>
      </c>
      <c r="C40" s="16" t="s">
        <v>74</v>
      </c>
      <c r="D40" s="20"/>
      <c r="E40" s="17" t="n">
        <v>4</v>
      </c>
      <c r="F40" s="18"/>
      <c r="G40" s="18" t="n">
        <v>1</v>
      </c>
      <c r="H40" s="18"/>
      <c r="I40" s="19"/>
      <c r="J40" s="19"/>
      <c r="K40" s="19"/>
      <c r="M40" s="18" t="n">
        <v>1</v>
      </c>
      <c r="N40" s="19"/>
    </row>
    <row r="41" customFormat="false" ht="13.8" hidden="false" customHeight="false" outlineLevel="0" collapsed="false">
      <c r="A41" s="21" t="s">
        <v>3</v>
      </c>
      <c r="B41" s="5" t="s">
        <v>52</v>
      </c>
      <c r="C41" s="16" t="s">
        <v>75</v>
      </c>
      <c r="D41" s="20" t="n">
        <v>20</v>
      </c>
      <c r="E41" s="17" t="n">
        <f aca="false">2*D41+2</f>
        <v>42</v>
      </c>
      <c r="F41" s="18"/>
      <c r="G41" s="18"/>
      <c r="H41" s="18"/>
      <c r="I41" s="19"/>
      <c r="J41" s="19"/>
      <c r="K41" s="19"/>
      <c r="M41" s="18" t="n">
        <v>1</v>
      </c>
      <c r="N41" s="19"/>
    </row>
    <row r="42" customFormat="false" ht="13.8" hidden="false" customHeight="false" outlineLevel="0" collapsed="false">
      <c r="A42" s="21" t="s">
        <v>4</v>
      </c>
      <c r="B42" s="3" t="s">
        <v>15</v>
      </c>
      <c r="C42" s="16" t="s">
        <v>74</v>
      </c>
      <c r="E42" s="22" t="n">
        <v>4</v>
      </c>
      <c r="F42" s="18" t="n">
        <v>1</v>
      </c>
      <c r="G42" s="18"/>
      <c r="H42" s="18" t="n">
        <v>1</v>
      </c>
      <c r="I42" s="19"/>
      <c r="J42" s="19"/>
      <c r="K42" s="19"/>
      <c r="M42" s="18" t="n">
        <v>1</v>
      </c>
      <c r="N42" s="19"/>
    </row>
    <row r="43" customFormat="false" ht="13.8" hidden="false" customHeight="false" outlineLevel="0" collapsed="false">
      <c r="A43" s="21" t="s">
        <v>4</v>
      </c>
      <c r="B43" s="5" t="s">
        <v>21</v>
      </c>
      <c r="C43" s="16" t="s">
        <v>80</v>
      </c>
      <c r="D43" s="5" t="n">
        <v>4.2</v>
      </c>
      <c r="E43" s="17" t="n">
        <v>5</v>
      </c>
      <c r="F43" s="18"/>
      <c r="G43" s="18"/>
      <c r="H43" s="18"/>
      <c r="I43" s="19"/>
      <c r="J43" s="19"/>
      <c r="K43" s="19"/>
      <c r="M43" s="18" t="n">
        <v>1</v>
      </c>
      <c r="N43" s="19"/>
    </row>
    <row r="44" customFormat="false" ht="13.8" hidden="false" customHeight="false" outlineLevel="0" collapsed="false">
      <c r="A44" s="21" t="s">
        <v>4</v>
      </c>
      <c r="B44" s="5" t="s">
        <v>27</v>
      </c>
      <c r="C44" s="16" t="s">
        <v>80</v>
      </c>
      <c r="D44" s="20" t="n">
        <v>4.2</v>
      </c>
      <c r="E44" s="17" t="n">
        <v>5</v>
      </c>
      <c r="F44" s="18"/>
      <c r="G44" s="18"/>
      <c r="H44" s="18"/>
      <c r="I44" s="19"/>
      <c r="J44" s="19"/>
      <c r="K44" s="19"/>
      <c r="L44" s="18"/>
      <c r="M44" s="18" t="n">
        <v>1</v>
      </c>
      <c r="N44" s="19"/>
    </row>
    <row r="45" customFormat="false" ht="13.8" hidden="false" customHeight="false" outlineLevel="0" collapsed="false">
      <c r="A45" s="21" t="s">
        <v>4</v>
      </c>
      <c r="B45" s="5" t="s">
        <v>32</v>
      </c>
      <c r="C45" s="16" t="s">
        <v>75</v>
      </c>
      <c r="D45" s="20" t="n">
        <v>50</v>
      </c>
      <c r="E45" s="17" t="n">
        <f aca="false">2*D45+2</f>
        <v>102</v>
      </c>
      <c r="F45" s="18"/>
      <c r="G45" s="18"/>
      <c r="H45" s="18"/>
      <c r="I45" s="19"/>
      <c r="J45" s="19"/>
      <c r="K45" s="19"/>
      <c r="L45" s="18" t="n">
        <v>1</v>
      </c>
      <c r="M45" s="18" t="n">
        <v>1</v>
      </c>
      <c r="N45" s="19"/>
    </row>
    <row r="46" customFormat="false" ht="13.8" hidden="false" customHeight="false" outlineLevel="0" collapsed="false">
      <c r="A46" s="21" t="s">
        <v>4</v>
      </c>
      <c r="B46" s="6" t="s">
        <v>16</v>
      </c>
      <c r="C46" s="16" t="s">
        <v>74</v>
      </c>
      <c r="E46" s="23" t="n">
        <v>4</v>
      </c>
      <c r="F46" s="18"/>
      <c r="G46" s="18" t="n">
        <v>1</v>
      </c>
      <c r="H46" s="18" t="n">
        <v>1</v>
      </c>
      <c r="I46" s="19"/>
      <c r="J46" s="19"/>
      <c r="K46" s="19"/>
      <c r="L46" s="18"/>
      <c r="M46" s="18" t="n">
        <v>1</v>
      </c>
      <c r="N46" s="19"/>
    </row>
    <row r="47" customFormat="false" ht="13.8" hidden="false" customHeight="false" outlineLevel="0" collapsed="false">
      <c r="A47" s="21" t="s">
        <v>5</v>
      </c>
      <c r="B47" s="3" t="s">
        <v>16</v>
      </c>
      <c r="C47" s="16" t="s">
        <v>74</v>
      </c>
      <c r="E47" s="23" t="n">
        <v>4</v>
      </c>
      <c r="F47" s="18" t="n">
        <v>1</v>
      </c>
      <c r="G47" s="18"/>
      <c r="H47" s="18" t="n">
        <v>1</v>
      </c>
      <c r="I47" s="19"/>
      <c r="J47" s="19"/>
      <c r="K47" s="19"/>
      <c r="L47" s="18"/>
      <c r="M47" s="18" t="n">
        <v>1</v>
      </c>
      <c r="N47" s="19"/>
    </row>
    <row r="48" customFormat="false" ht="13.8" hidden="false" customHeight="false" outlineLevel="0" collapsed="false">
      <c r="A48" s="21" t="s">
        <v>5</v>
      </c>
      <c r="B48" s="5" t="s">
        <v>20</v>
      </c>
      <c r="C48" s="16" t="s">
        <v>75</v>
      </c>
      <c r="D48" s="20" t="n">
        <v>50</v>
      </c>
      <c r="E48" s="17" t="n">
        <f aca="false">2*D48+2</f>
        <v>102</v>
      </c>
      <c r="F48" s="18"/>
      <c r="G48" s="18"/>
      <c r="H48" s="18"/>
      <c r="I48" s="19"/>
      <c r="J48" s="19"/>
      <c r="K48" s="19"/>
      <c r="L48" s="18" t="n">
        <v>1</v>
      </c>
      <c r="M48" s="18" t="n">
        <v>1</v>
      </c>
      <c r="N48" s="19"/>
    </row>
    <row r="49" customFormat="false" ht="13.8" hidden="false" customHeight="false" outlineLevel="0" collapsed="false">
      <c r="A49" s="21" t="s">
        <v>6</v>
      </c>
      <c r="B49" s="3" t="s">
        <v>15</v>
      </c>
      <c r="C49" s="16" t="s">
        <v>74</v>
      </c>
      <c r="E49" s="23" t="n">
        <v>4</v>
      </c>
      <c r="F49" s="18" t="n">
        <v>1</v>
      </c>
      <c r="G49" s="18" t="n">
        <v>1</v>
      </c>
      <c r="H49" s="18" t="n">
        <v>1</v>
      </c>
      <c r="I49" s="19"/>
      <c r="J49" s="19"/>
      <c r="K49" s="19"/>
      <c r="L49" s="18"/>
      <c r="M49" s="18" t="n">
        <v>1</v>
      </c>
      <c r="N49" s="19"/>
    </row>
    <row r="50" customFormat="false" ht="13.8" hidden="false" customHeight="false" outlineLevel="0" collapsed="false">
      <c r="A50" s="21" t="s">
        <v>6</v>
      </c>
      <c r="B50" s="3" t="s">
        <v>22</v>
      </c>
      <c r="C50" s="16" t="s">
        <v>82</v>
      </c>
      <c r="D50" s="20"/>
      <c r="E50" s="17" t="n">
        <v>2</v>
      </c>
      <c r="F50" s="18" t="n">
        <v>1</v>
      </c>
      <c r="G50" s="18"/>
      <c r="H50" s="18" t="n">
        <v>1</v>
      </c>
      <c r="I50" s="19"/>
      <c r="J50" s="19"/>
      <c r="K50" s="19"/>
      <c r="L50" s="18"/>
      <c r="M50" s="18" t="n">
        <v>1</v>
      </c>
      <c r="N50" s="19"/>
    </row>
    <row r="51" customFormat="false" ht="13.8" hidden="false" customHeight="false" outlineLevel="0" collapsed="false">
      <c r="A51" s="21" t="s">
        <v>6</v>
      </c>
      <c r="B51" s="5" t="s">
        <v>28</v>
      </c>
      <c r="C51" s="16" t="s">
        <v>80</v>
      </c>
      <c r="D51" s="20" t="n">
        <v>4.2</v>
      </c>
      <c r="E51" s="17" t="n">
        <v>5</v>
      </c>
      <c r="F51" s="18"/>
      <c r="G51" s="18"/>
      <c r="H51" s="18"/>
      <c r="I51" s="19"/>
      <c r="J51" s="19"/>
      <c r="K51" s="19"/>
      <c r="L51" s="18"/>
      <c r="M51" s="18" t="n">
        <v>1</v>
      </c>
      <c r="N51" s="19"/>
    </row>
    <row r="52" customFormat="false" ht="13.8" hidden="false" customHeight="false" outlineLevel="0" collapsed="false">
      <c r="A52" s="21" t="s">
        <v>6</v>
      </c>
      <c r="B52" s="5" t="s">
        <v>33</v>
      </c>
      <c r="C52" s="16" t="s">
        <v>77</v>
      </c>
      <c r="D52" s="20"/>
      <c r="E52" s="17" t="n">
        <v>8</v>
      </c>
      <c r="F52" s="18"/>
      <c r="G52" s="18"/>
      <c r="H52" s="18"/>
      <c r="I52" s="19"/>
      <c r="J52" s="19"/>
      <c r="K52" s="19"/>
      <c r="L52" s="18"/>
      <c r="M52" s="18"/>
      <c r="N52" s="19"/>
    </row>
    <row r="53" customFormat="false" ht="13.8" hidden="false" customHeight="false" outlineLevel="0" collapsed="false">
      <c r="A53" s="21" t="s">
        <v>6</v>
      </c>
      <c r="B53" s="5" t="s">
        <v>39</v>
      </c>
      <c r="C53" s="16" t="s">
        <v>77</v>
      </c>
      <c r="D53" s="20"/>
      <c r="E53" s="17" t="n">
        <v>8</v>
      </c>
      <c r="F53" s="18"/>
      <c r="G53" s="18"/>
      <c r="H53" s="18"/>
      <c r="I53" s="19"/>
      <c r="J53" s="19"/>
      <c r="K53" s="19"/>
      <c r="L53" s="18"/>
      <c r="M53" s="18"/>
      <c r="N53" s="19"/>
    </row>
    <row r="54" customFormat="false" ht="13.8" hidden="false" customHeight="false" outlineLevel="0" collapsed="false">
      <c r="A54" s="21" t="s">
        <v>6</v>
      </c>
      <c r="B54" s="5" t="s">
        <v>44</v>
      </c>
      <c r="C54" s="16" t="s">
        <v>80</v>
      </c>
      <c r="D54" s="20" t="n">
        <v>4.2</v>
      </c>
      <c r="E54" s="17" t="n">
        <v>5</v>
      </c>
      <c r="F54" s="18"/>
      <c r="G54" s="18"/>
      <c r="H54" s="18"/>
      <c r="I54" s="19"/>
      <c r="J54" s="19"/>
      <c r="K54" s="19"/>
      <c r="L54" s="18"/>
      <c r="M54" s="18" t="n">
        <v>1</v>
      </c>
      <c r="N54" s="19"/>
    </row>
    <row r="55" customFormat="false" ht="13.8" hidden="false" customHeight="false" outlineLevel="0" collapsed="false">
      <c r="A55" s="21" t="s">
        <v>6</v>
      </c>
      <c r="B55" s="5" t="s">
        <v>48</v>
      </c>
      <c r="C55" s="16" t="s">
        <v>75</v>
      </c>
      <c r="D55" s="20" t="n">
        <v>50</v>
      </c>
      <c r="E55" s="17" t="n">
        <f aca="false">2*D55+2</f>
        <v>102</v>
      </c>
      <c r="F55" s="18"/>
      <c r="G55" s="18"/>
      <c r="H55" s="18"/>
      <c r="I55" s="19"/>
      <c r="J55" s="19"/>
      <c r="K55" s="19"/>
      <c r="L55" s="18"/>
      <c r="M55" s="18" t="n">
        <v>1</v>
      </c>
      <c r="N55" s="19"/>
    </row>
    <row r="56" customFormat="false" ht="13.8" hidden="false" customHeight="false" outlineLevel="0" collapsed="false">
      <c r="A56" s="21" t="s">
        <v>6</v>
      </c>
      <c r="B56" s="5" t="s">
        <v>51</v>
      </c>
      <c r="C56" s="16" t="s">
        <v>83</v>
      </c>
      <c r="D56" s="20"/>
      <c r="E56" s="17" t="n">
        <v>1</v>
      </c>
      <c r="F56" s="18"/>
      <c r="G56" s="18"/>
      <c r="H56" s="18"/>
      <c r="I56" s="19"/>
      <c r="J56" s="19"/>
      <c r="K56" s="19"/>
      <c r="L56" s="18"/>
      <c r="M56" s="18"/>
      <c r="N56" s="19"/>
    </row>
    <row r="57" customFormat="false" ht="13.8" hidden="false" customHeight="false" outlineLevel="0" collapsed="false">
      <c r="A57" s="21" t="s">
        <v>7</v>
      </c>
      <c r="B57" s="3" t="s">
        <v>17</v>
      </c>
      <c r="C57" s="16" t="s">
        <v>74</v>
      </c>
      <c r="E57" s="23" t="n">
        <v>4</v>
      </c>
      <c r="F57" s="18" t="n">
        <v>1</v>
      </c>
      <c r="G57" s="18"/>
      <c r="H57" s="18" t="n">
        <v>1</v>
      </c>
      <c r="I57" s="19"/>
      <c r="J57" s="19"/>
      <c r="K57" s="19"/>
      <c r="L57" s="18"/>
      <c r="M57" s="18" t="n">
        <v>1</v>
      </c>
      <c r="N57" s="19"/>
    </row>
    <row r="58" customFormat="false" ht="13.8" hidden="false" customHeight="false" outlineLevel="0" collapsed="false">
      <c r="A58" s="21" t="s">
        <v>7</v>
      </c>
      <c r="B58" s="5" t="s">
        <v>23</v>
      </c>
      <c r="C58" s="16" t="s">
        <v>80</v>
      </c>
      <c r="D58" s="20" t="n">
        <v>4.2</v>
      </c>
      <c r="E58" s="17" t="n">
        <v>5</v>
      </c>
      <c r="F58" s="18"/>
      <c r="G58" s="18"/>
      <c r="H58" s="18"/>
      <c r="I58" s="19"/>
      <c r="J58" s="19"/>
      <c r="K58" s="19"/>
      <c r="L58" s="18"/>
      <c r="M58" s="18" t="n">
        <v>1</v>
      </c>
      <c r="N58" s="19"/>
    </row>
    <row r="59" customFormat="false" ht="13.8" hidden="false" customHeight="false" outlineLevel="0" collapsed="false">
      <c r="A59" s="21" t="s">
        <v>7</v>
      </c>
      <c r="B59" s="5" t="s">
        <v>29</v>
      </c>
      <c r="C59" s="16" t="s">
        <v>84</v>
      </c>
      <c r="D59" s="20"/>
      <c r="E59" s="17"/>
      <c r="F59" s="18"/>
      <c r="G59" s="18"/>
      <c r="H59" s="18"/>
      <c r="I59" s="19"/>
      <c r="J59" s="19"/>
      <c r="K59" s="19"/>
      <c r="L59" s="18"/>
      <c r="M59" s="18"/>
      <c r="N59" s="19"/>
    </row>
    <row r="60" customFormat="false" ht="13.8" hidden="false" customHeight="false" outlineLevel="0" collapsed="false">
      <c r="A60" s="21" t="s">
        <v>7</v>
      </c>
      <c r="B60" s="5" t="s">
        <v>58</v>
      </c>
      <c r="C60" s="16" t="s">
        <v>76</v>
      </c>
      <c r="D60" s="20" t="n">
        <v>7.2</v>
      </c>
      <c r="E60" s="17" t="n">
        <v>5</v>
      </c>
      <c r="F60" s="18"/>
      <c r="G60" s="18"/>
      <c r="H60" s="18"/>
      <c r="I60" s="19"/>
      <c r="J60" s="19"/>
      <c r="K60" s="19"/>
      <c r="L60" s="18"/>
      <c r="M60" s="18" t="n">
        <v>1</v>
      </c>
      <c r="N60" s="19"/>
    </row>
    <row r="61" customFormat="false" ht="13.8" hidden="false" customHeight="false" outlineLevel="0" collapsed="false">
      <c r="A61" s="21" t="s">
        <v>7</v>
      </c>
      <c r="B61" s="5" t="s">
        <v>40</v>
      </c>
      <c r="C61" s="16" t="s">
        <v>75</v>
      </c>
      <c r="D61" s="20" t="n">
        <v>50</v>
      </c>
      <c r="E61" s="17" t="n">
        <f aca="false">2*D643+2</f>
        <v>2</v>
      </c>
      <c r="F61" s="18"/>
      <c r="G61" s="18"/>
      <c r="H61" s="18"/>
      <c r="I61" s="19"/>
      <c r="J61" s="19"/>
      <c r="K61" s="19"/>
      <c r="L61" s="18" t="n">
        <v>1</v>
      </c>
      <c r="M61" s="18" t="n">
        <v>1</v>
      </c>
      <c r="N61" s="19"/>
    </row>
    <row r="62" customFormat="false" ht="13.8" hidden="false" customHeight="false" outlineLevel="0" collapsed="false">
      <c r="A62" s="21" t="s">
        <v>8</v>
      </c>
      <c r="B62" s="4" t="s">
        <v>17</v>
      </c>
      <c r="C62" s="16" t="s">
        <v>74</v>
      </c>
      <c r="E62" s="23" t="n">
        <v>4</v>
      </c>
      <c r="F62" s="18" t="n">
        <v>1</v>
      </c>
      <c r="G62" s="18" t="n">
        <v>1</v>
      </c>
      <c r="H62" s="18" t="n">
        <v>1</v>
      </c>
      <c r="I62" s="19"/>
      <c r="J62" s="19"/>
      <c r="K62" s="19"/>
      <c r="L62" s="18"/>
      <c r="M62" s="18" t="n">
        <v>1</v>
      </c>
      <c r="N62" s="19"/>
    </row>
    <row r="63" customFormat="false" ht="13.8" hidden="false" customHeight="false" outlineLevel="0" collapsed="false">
      <c r="A63" s="21" t="s">
        <v>8</v>
      </c>
      <c r="B63" s="4" t="s">
        <v>22</v>
      </c>
      <c r="C63" s="16" t="s">
        <v>82</v>
      </c>
      <c r="E63" s="23" t="n">
        <v>2</v>
      </c>
      <c r="F63" s="18" t="n">
        <v>1</v>
      </c>
      <c r="G63" s="18" t="n">
        <v>1</v>
      </c>
      <c r="H63" s="18" t="n">
        <v>1</v>
      </c>
      <c r="I63" s="19"/>
      <c r="J63" s="19"/>
      <c r="K63" s="19"/>
      <c r="L63" s="18"/>
      <c r="M63" s="18" t="n">
        <v>1</v>
      </c>
      <c r="N63" s="19"/>
    </row>
    <row r="64" customFormat="false" ht="13.8" hidden="false" customHeight="false" outlineLevel="0" collapsed="false">
      <c r="A64" s="21" t="s">
        <v>8</v>
      </c>
      <c r="B64" s="4" t="s">
        <v>15</v>
      </c>
      <c r="C64" s="16" t="s">
        <v>74</v>
      </c>
      <c r="E64" s="23" t="n">
        <v>4</v>
      </c>
      <c r="F64" s="18" t="n">
        <v>1</v>
      </c>
      <c r="G64" s="18" t="n">
        <v>1</v>
      </c>
      <c r="H64" s="18" t="n">
        <v>1</v>
      </c>
      <c r="I64" s="19"/>
      <c r="J64" s="19"/>
      <c r="K64" s="19"/>
      <c r="L64" s="18"/>
      <c r="M64" s="18" t="n">
        <v>1</v>
      </c>
      <c r="N64" s="19"/>
    </row>
    <row r="65" customFormat="false" ht="13.8" hidden="false" customHeight="false" outlineLevel="0" collapsed="false">
      <c r="A65" s="21" t="s">
        <v>8</v>
      </c>
      <c r="B65" s="5" t="s">
        <v>35</v>
      </c>
      <c r="C65" s="16" t="s">
        <v>82</v>
      </c>
      <c r="E65" s="23" t="n">
        <v>2</v>
      </c>
      <c r="F65" s="18"/>
      <c r="G65" s="18"/>
      <c r="H65" s="18"/>
      <c r="I65" s="19"/>
      <c r="J65" s="19"/>
      <c r="K65" s="19"/>
      <c r="L65" s="18"/>
      <c r="M65" s="18" t="n">
        <v>1</v>
      </c>
      <c r="N65" s="19"/>
    </row>
    <row r="66" customFormat="false" ht="13.8" hidden="false" customHeight="false" outlineLevel="0" collapsed="false">
      <c r="A66" s="21" t="s">
        <v>9</v>
      </c>
      <c r="B66" s="4" t="s">
        <v>11</v>
      </c>
      <c r="C66" s="16" t="s">
        <v>74</v>
      </c>
      <c r="E66" s="23" t="n">
        <v>4</v>
      </c>
      <c r="F66" s="18" t="n">
        <v>1</v>
      </c>
      <c r="G66" s="18" t="n">
        <v>1</v>
      </c>
      <c r="H66" s="18" t="n">
        <v>1</v>
      </c>
      <c r="I66" s="19"/>
      <c r="J66" s="19"/>
      <c r="K66" s="19"/>
      <c r="L66" s="18"/>
      <c r="M66" s="18" t="n">
        <v>1</v>
      </c>
      <c r="N66" s="19"/>
    </row>
    <row r="67" customFormat="false" ht="13.8" hidden="false" customHeight="false" outlineLevel="0" collapsed="false">
      <c r="A67" s="21" t="s">
        <v>9</v>
      </c>
      <c r="B67" s="4" t="s">
        <v>12</v>
      </c>
      <c r="C67" s="16" t="s">
        <v>77</v>
      </c>
      <c r="D67" s="20"/>
      <c r="E67" s="17" t="n">
        <v>8</v>
      </c>
      <c r="F67" s="18" t="n">
        <v>1</v>
      </c>
      <c r="G67" s="18" t="n">
        <v>1</v>
      </c>
      <c r="H67" s="18" t="n">
        <v>1</v>
      </c>
      <c r="I67" s="19"/>
      <c r="J67" s="19"/>
      <c r="K67" s="19"/>
      <c r="L67" s="18"/>
      <c r="M67" s="18" t="n">
        <v>1</v>
      </c>
      <c r="N67" s="19"/>
    </row>
    <row r="68" customFormat="false" ht="13.8" hidden="false" customHeight="false" outlineLevel="0" collapsed="false">
      <c r="A68" s="21" t="s">
        <v>9</v>
      </c>
      <c r="B68" s="4" t="s">
        <v>15</v>
      </c>
      <c r="C68" s="16" t="s">
        <v>74</v>
      </c>
      <c r="D68" s="20"/>
      <c r="E68" s="17" t="n">
        <v>4</v>
      </c>
      <c r="F68" s="18" t="n">
        <v>1</v>
      </c>
      <c r="G68" s="18" t="n">
        <v>1</v>
      </c>
      <c r="H68" s="18" t="n">
        <v>1</v>
      </c>
      <c r="I68" s="19"/>
      <c r="J68" s="19"/>
      <c r="K68" s="19"/>
      <c r="L68" s="18"/>
      <c r="M68" s="18" t="n">
        <v>1</v>
      </c>
      <c r="N68" s="19"/>
    </row>
    <row r="69" customFormat="false" ht="13.8" hidden="false" customHeight="false" outlineLevel="0" collapsed="false">
      <c r="A69" s="21" t="s">
        <v>9</v>
      </c>
      <c r="B69" s="5" t="s">
        <v>35</v>
      </c>
      <c r="C69" s="16" t="s">
        <v>85</v>
      </c>
      <c r="D69" s="20" t="n">
        <v>5.2</v>
      </c>
      <c r="E69" s="17" t="n">
        <v>5</v>
      </c>
      <c r="F69" s="18"/>
      <c r="G69" s="18"/>
      <c r="H69" s="18"/>
      <c r="I69" s="19"/>
      <c r="J69" s="19"/>
      <c r="K69" s="19"/>
      <c r="L69" s="18"/>
      <c r="M69" s="18" t="n">
        <v>1</v>
      </c>
      <c r="N69" s="19"/>
    </row>
    <row r="70" customFormat="false" ht="13.8" hidden="false" customHeight="false" outlineLevel="0" collapsed="false">
      <c r="A70" s="21" t="s">
        <v>10</v>
      </c>
      <c r="B70" s="3" t="s">
        <v>18</v>
      </c>
      <c r="C70" s="16" t="s">
        <v>74</v>
      </c>
      <c r="D70" s="20"/>
      <c r="E70" s="17" t="n">
        <v>4</v>
      </c>
      <c r="F70" s="18" t="n">
        <v>1</v>
      </c>
      <c r="G70" s="18"/>
      <c r="H70" s="18" t="n">
        <v>1</v>
      </c>
      <c r="I70" s="19"/>
      <c r="J70" s="19"/>
      <c r="K70" s="19"/>
      <c r="L70" s="18"/>
      <c r="M70" s="18" t="n">
        <v>1</v>
      </c>
      <c r="N70" s="19"/>
    </row>
    <row r="71" customFormat="false" ht="13.8" hidden="false" customHeight="false" outlineLevel="0" collapsed="false">
      <c r="A71" s="21" t="s">
        <v>10</v>
      </c>
      <c r="B71" s="6" t="s">
        <v>11</v>
      </c>
      <c r="C71" s="16" t="s">
        <v>74</v>
      </c>
      <c r="D71" s="20"/>
      <c r="E71" s="17" t="n">
        <v>4</v>
      </c>
      <c r="F71" s="18"/>
      <c r="G71" s="18" t="n">
        <v>1</v>
      </c>
      <c r="H71" s="18"/>
      <c r="I71" s="19"/>
      <c r="J71" s="19"/>
      <c r="K71" s="19"/>
      <c r="L71" s="18"/>
      <c r="M71" s="18" t="n">
        <v>1</v>
      </c>
      <c r="N71" s="19"/>
    </row>
    <row r="72" customFormat="false" ht="13.8" hidden="false" customHeight="false" outlineLevel="0" collapsed="false">
      <c r="A72" s="21" t="s">
        <v>10</v>
      </c>
      <c r="B72" s="6" t="s">
        <v>13</v>
      </c>
      <c r="C72" s="16" t="s">
        <v>74</v>
      </c>
      <c r="D72" s="20"/>
      <c r="E72" s="17" t="n">
        <v>4</v>
      </c>
      <c r="F72" s="18"/>
      <c r="G72" s="18" t="n">
        <v>1</v>
      </c>
      <c r="H72" s="18"/>
      <c r="I72" s="19"/>
      <c r="J72" s="19"/>
      <c r="K72" s="19"/>
      <c r="L72" s="18"/>
      <c r="M72" s="18" t="n">
        <v>1</v>
      </c>
      <c r="N72" s="19"/>
    </row>
    <row r="73" customFormat="false" ht="13.8" hidden="false" customHeight="false" outlineLevel="0" collapsed="false">
      <c r="A73" s="21" t="s">
        <v>10</v>
      </c>
      <c r="B73" s="5" t="s">
        <v>36</v>
      </c>
      <c r="C73" s="16" t="s">
        <v>86</v>
      </c>
      <c r="D73" s="20"/>
      <c r="E73" s="17" t="n">
        <v>3</v>
      </c>
      <c r="F73" s="18"/>
      <c r="G73" s="18"/>
      <c r="H73" s="18"/>
      <c r="I73" s="19"/>
      <c r="J73" s="19"/>
      <c r="K73" s="19"/>
      <c r="L73" s="18"/>
      <c r="M73" s="18" t="n">
        <v>1</v>
      </c>
      <c r="N73" s="19"/>
    </row>
    <row r="74" customFormat="false" ht="13.8" hidden="false" customHeight="false" outlineLevel="0" collapsed="false">
      <c r="A74" s="21" t="s">
        <v>10</v>
      </c>
      <c r="B74" s="5" t="s">
        <v>41</v>
      </c>
      <c r="C74" s="16" t="s">
        <v>87</v>
      </c>
      <c r="D74" s="20"/>
      <c r="E74" s="17" t="n">
        <v>5</v>
      </c>
      <c r="F74" s="18"/>
      <c r="G74" s="18"/>
      <c r="H74" s="18"/>
      <c r="I74" s="19"/>
      <c r="J74" s="19"/>
      <c r="K74" s="19"/>
      <c r="L74" s="18"/>
      <c r="M74" s="18" t="n">
        <v>1</v>
      </c>
      <c r="N74" s="19"/>
    </row>
    <row r="75" customFormat="false" ht="13.8" hidden="false" customHeight="false" outlineLevel="0" collapsed="false">
      <c r="A75" s="21" t="s">
        <v>10</v>
      </c>
      <c r="B75" s="5" t="s">
        <v>45</v>
      </c>
      <c r="C75" s="16" t="s">
        <v>87</v>
      </c>
      <c r="D75" s="20"/>
      <c r="E75" s="17" t="n">
        <v>5</v>
      </c>
      <c r="F75" s="18"/>
      <c r="G75" s="18"/>
      <c r="H75" s="18"/>
      <c r="I75" s="19"/>
      <c r="J75" s="19"/>
      <c r="K75" s="19"/>
      <c r="L75" s="18"/>
      <c r="M75" s="18" t="n">
        <v>1</v>
      </c>
      <c r="N75" s="19"/>
    </row>
    <row r="76" customFormat="false" ht="13.8" hidden="false" customHeight="false" outlineLevel="0" collapsed="false">
      <c r="A76" s="21" t="s">
        <v>24</v>
      </c>
      <c r="B76" s="3" t="s">
        <v>53</v>
      </c>
      <c r="C76" s="5" t="s">
        <v>74</v>
      </c>
      <c r="E76" s="22" t="n">
        <v>4</v>
      </c>
      <c r="F76" s="18" t="n">
        <v>1</v>
      </c>
      <c r="G76" s="18"/>
      <c r="H76" s="18" t="n">
        <v>1</v>
      </c>
      <c r="I76" s="19"/>
      <c r="J76" s="19"/>
      <c r="K76" s="19"/>
      <c r="L76" s="18"/>
      <c r="M76" s="18" t="n">
        <v>1</v>
      </c>
      <c r="N76" s="19"/>
    </row>
    <row r="77" customFormat="false" ht="13.8" hidden="false" customHeight="false" outlineLevel="0" collapsed="false">
      <c r="A77" s="21" t="s">
        <v>24</v>
      </c>
      <c r="B77" s="5" t="s">
        <v>54</v>
      </c>
      <c r="C77" s="16" t="s">
        <v>75</v>
      </c>
      <c r="D77" s="20" t="n">
        <v>50</v>
      </c>
      <c r="E77" s="17" t="n">
        <f aca="false">2*D77+2</f>
        <v>102</v>
      </c>
      <c r="F77" s="18"/>
      <c r="G77" s="18"/>
      <c r="H77" s="18"/>
      <c r="I77" s="19"/>
      <c r="J77" s="19"/>
      <c r="K77" s="19"/>
      <c r="L77" s="18"/>
      <c r="M77" s="18" t="n">
        <v>1</v>
      </c>
      <c r="N77" s="19"/>
    </row>
    <row r="78" customFormat="false" ht="13.8" hidden="false" customHeight="false" outlineLevel="0" collapsed="false">
      <c r="A78" s="21" t="s">
        <v>24</v>
      </c>
      <c r="B78" s="5" t="s">
        <v>55</v>
      </c>
      <c r="C78" s="16" t="s">
        <v>88</v>
      </c>
      <c r="D78" s="5" t="n">
        <v>5</v>
      </c>
      <c r="E78" s="17" t="n">
        <v>7</v>
      </c>
      <c r="F78" s="18"/>
      <c r="G78" s="18"/>
      <c r="H78" s="18"/>
      <c r="I78" s="19"/>
      <c r="J78" s="19"/>
      <c r="K78" s="19"/>
      <c r="L78" s="18"/>
      <c r="M78" s="18" t="n">
        <v>1</v>
      </c>
      <c r="N78" s="19"/>
    </row>
    <row r="79" customFormat="false" ht="13.8" hidden="false" customHeight="false" outlineLevel="0" collapsed="false">
      <c r="A79" s="21" t="s">
        <v>24</v>
      </c>
      <c r="B79" s="5" t="s">
        <v>56</v>
      </c>
      <c r="C79" s="16" t="s">
        <v>75</v>
      </c>
      <c r="D79" s="20" t="n">
        <v>20</v>
      </c>
      <c r="E79" s="17" t="n">
        <f aca="false">2*D79+2</f>
        <v>42</v>
      </c>
      <c r="F79" s="18"/>
      <c r="G79" s="18"/>
      <c r="H79" s="18"/>
      <c r="I79" s="19"/>
      <c r="J79" s="19"/>
      <c r="K79" s="19"/>
      <c r="L79" s="18"/>
      <c r="M79" s="18" t="n">
        <v>1</v>
      </c>
      <c r="N79" s="19"/>
    </row>
    <row r="80" customFormat="false" ht="13.8" hidden="false" customHeight="false" outlineLevel="0" collapsed="false">
      <c r="A80" s="21" t="s">
        <v>24</v>
      </c>
      <c r="B80" s="5" t="s">
        <v>57</v>
      </c>
      <c r="C80" s="16" t="s">
        <v>75</v>
      </c>
      <c r="D80" s="5" t="n">
        <v>7</v>
      </c>
      <c r="E80" s="17" t="n">
        <f aca="false">2*D80+2</f>
        <v>16</v>
      </c>
      <c r="F80" s="18"/>
      <c r="G80" s="18"/>
      <c r="H80" s="18"/>
      <c r="I80" s="19"/>
      <c r="J80" s="19"/>
      <c r="K80" s="19"/>
      <c r="L80" s="18"/>
      <c r="M80" s="18" t="n">
        <v>1</v>
      </c>
      <c r="N80" s="19"/>
    </row>
    <row r="81" customFormat="false" ht="17.35" hidden="false" customHeight="false" outlineLevel="0" collapsed="false">
      <c r="A81" s="24" t="s">
        <v>89</v>
      </c>
      <c r="B81" s="24"/>
      <c r="C81" s="25"/>
      <c r="D81" s="19"/>
      <c r="E81" s="19"/>
      <c r="F81" s="19"/>
      <c r="G81" s="19"/>
      <c r="H81" s="19"/>
      <c r="I81" s="19"/>
      <c r="J81" s="19"/>
      <c r="K81" s="19"/>
      <c r="L81" s="18"/>
      <c r="M81" s="18"/>
      <c r="N81" s="19"/>
    </row>
    <row r="82" customFormat="false" ht="13.8" hidden="false" customHeight="false" outlineLevel="0" collapsed="false">
      <c r="A82" s="26" t="s">
        <v>90</v>
      </c>
      <c r="B82" s="26"/>
      <c r="C82" s="26"/>
      <c r="D82" s="26"/>
      <c r="E82" s="26"/>
      <c r="F82" s="26"/>
      <c r="G82" s="27"/>
      <c r="H82" s="27"/>
      <c r="I82" s="27"/>
      <c r="J82" s="19"/>
      <c r="K82" s="19"/>
      <c r="L82" s="18"/>
      <c r="M82" s="18"/>
      <c r="N82" s="19"/>
    </row>
    <row r="83" customFormat="false" ht="13.8" hidden="false" customHeight="false" outlineLevel="0" collapsed="false">
      <c r="A83" s="28" t="s">
        <v>91</v>
      </c>
      <c r="B83" s="28"/>
      <c r="C83" s="29"/>
      <c r="D83" s="19"/>
      <c r="E83" s="19"/>
      <c r="F83" s="19"/>
      <c r="G83" s="19"/>
      <c r="H83" s="19"/>
      <c r="I83" s="19"/>
      <c r="J83" s="19"/>
      <c r="K83" s="19"/>
      <c r="L83" s="18"/>
      <c r="M83" s="18"/>
      <c r="N83" s="19"/>
    </row>
    <row r="84" customFormat="false" ht="48" hidden="false" customHeight="false" outlineLevel="0" collapsed="false">
      <c r="A84" s="30" t="s">
        <v>60</v>
      </c>
      <c r="B84" s="31" t="s">
        <v>92</v>
      </c>
      <c r="C84" s="31" t="s">
        <v>93</v>
      </c>
      <c r="D84" s="32" t="s">
        <v>94</v>
      </c>
      <c r="E84" s="32" t="s">
        <v>95</v>
      </c>
      <c r="F84" s="32" t="s">
        <v>96</v>
      </c>
      <c r="G84" s="32" t="s">
        <v>97</v>
      </c>
      <c r="H84" s="32" t="s">
        <v>98</v>
      </c>
      <c r="I84" s="32" t="s">
        <v>99</v>
      </c>
      <c r="J84" s="19"/>
      <c r="K84" s="19"/>
      <c r="L84" s="18"/>
      <c r="M84" s="18"/>
      <c r="N84" s="19"/>
    </row>
    <row r="85" customFormat="false" ht="13.8" hidden="false" customHeight="false" outlineLevel="0" collapsed="false">
      <c r="A85" s="33" t="s">
        <v>0</v>
      </c>
      <c r="B85" s="5" t="n">
        <v>50</v>
      </c>
      <c r="C85" s="5" t="n">
        <v>5</v>
      </c>
      <c r="D85" s="17" t="n">
        <f aca="false">B85+10*C85</f>
        <v>100</v>
      </c>
      <c r="E85" s="17" t="n">
        <f aca="false">SUM(E18:E25)</f>
        <v>135</v>
      </c>
      <c r="F85" s="17" t="n">
        <f aca="false">D85*E85</f>
        <v>13500</v>
      </c>
      <c r="G85" s="34" t="n">
        <f aca="false">F85/1024</f>
        <v>13.18359375</v>
      </c>
      <c r="H85" s="34" t="n">
        <f aca="false">G85/1024</f>
        <v>0.0128746032714844</v>
      </c>
      <c r="I85" s="17" t="n">
        <f aca="false">H85/1024</f>
        <v>1.2572854757309E-005</v>
      </c>
      <c r="J85" s="19"/>
      <c r="K85" s="19"/>
      <c r="L85" s="18"/>
      <c r="M85" s="18"/>
      <c r="N85" s="19"/>
    </row>
    <row r="86" customFormat="false" ht="13.8" hidden="false" customHeight="false" outlineLevel="0" collapsed="false">
      <c r="A86" s="35" t="s">
        <v>1</v>
      </c>
      <c r="B86" s="36" t="n">
        <v>10000000</v>
      </c>
      <c r="C86" s="36" t="n">
        <v>11000000</v>
      </c>
      <c r="D86" s="17" t="n">
        <f aca="false">B86+10*C86</f>
        <v>120000000</v>
      </c>
      <c r="E86" s="17" t="n">
        <f aca="false">SUM(E26:E29)</f>
        <v>17</v>
      </c>
      <c r="F86" s="17" t="n">
        <f aca="false">D86*E86</f>
        <v>2040000000</v>
      </c>
      <c r="G86" s="34" t="n">
        <f aca="false">F86/1024</f>
        <v>1992187.5</v>
      </c>
      <c r="H86" s="34" t="n">
        <f aca="false">G86/1024</f>
        <v>1945.49560546875</v>
      </c>
      <c r="I86" s="17" t="n">
        <f aca="false">H86/1024</f>
        <v>1.89989805221558</v>
      </c>
      <c r="J86" s="19"/>
      <c r="K86" s="19"/>
      <c r="L86" s="18"/>
      <c r="M86" s="18"/>
      <c r="N86" s="19"/>
    </row>
    <row r="87" customFormat="false" ht="13.8" hidden="false" customHeight="false" outlineLevel="0" collapsed="false">
      <c r="A87" s="35" t="s">
        <v>2</v>
      </c>
      <c r="B87" s="5" t="n">
        <v>150</v>
      </c>
      <c r="C87" s="5" t="n">
        <v>30</v>
      </c>
      <c r="D87" s="17" t="n">
        <f aca="false">B87+10*C87</f>
        <v>450</v>
      </c>
      <c r="E87" s="17" t="n">
        <f aca="false">SUM(E30:E31)</f>
        <v>8</v>
      </c>
      <c r="F87" s="17" t="n">
        <f aca="false">D87*E87</f>
        <v>3600</v>
      </c>
      <c r="G87" s="34" t="n">
        <f aca="false">F87/1024</f>
        <v>3.515625</v>
      </c>
      <c r="H87" s="34" t="n">
        <f aca="false">G87/1024</f>
        <v>0.0034332275390625</v>
      </c>
      <c r="I87" s="17" t="n">
        <f aca="false">H87/1024</f>
        <v>3.35276126861572E-006</v>
      </c>
      <c r="J87" s="19"/>
      <c r="K87" s="19"/>
      <c r="L87" s="18"/>
      <c r="M87" s="18"/>
      <c r="N87" s="19"/>
    </row>
    <row r="88" customFormat="false" ht="13.8" hidden="false" customHeight="false" outlineLevel="0" collapsed="false">
      <c r="A88" s="35" t="s">
        <v>3</v>
      </c>
      <c r="B88" s="5" t="n">
        <v>200</v>
      </c>
      <c r="C88" s="5" t="n">
        <v>34</v>
      </c>
      <c r="D88" s="17" t="n">
        <f aca="false">B88+10*C88</f>
        <v>540</v>
      </c>
      <c r="E88" s="17" t="n">
        <f aca="false">SUM(E32:E41)</f>
        <v>205</v>
      </c>
      <c r="F88" s="17" t="n">
        <f aca="false">D88*E88</f>
        <v>110700</v>
      </c>
      <c r="G88" s="34" t="n">
        <f aca="false">F88/1024</f>
        <v>108.10546875</v>
      </c>
      <c r="H88" s="34" t="n">
        <f aca="false">G88/1024</f>
        <v>0.105571746826172</v>
      </c>
      <c r="I88" s="17" t="n">
        <f aca="false">H88/1024</f>
        <v>0.000103097409009933</v>
      </c>
      <c r="J88" s="19"/>
      <c r="K88" s="19"/>
      <c r="L88" s="18"/>
      <c r="M88" s="18"/>
      <c r="N88" s="19"/>
    </row>
    <row r="89" customFormat="false" ht="13.8" hidden="false" customHeight="false" outlineLevel="0" collapsed="false">
      <c r="A89" s="35" t="s">
        <v>4</v>
      </c>
      <c r="B89" s="19" t="n">
        <v>50</v>
      </c>
      <c r="C89" s="19" t="n">
        <v>5</v>
      </c>
      <c r="D89" s="17" t="n">
        <f aca="false">B89+10*C89</f>
        <v>100</v>
      </c>
      <c r="E89" s="17" t="n">
        <f aca="false">SUM(E42:E46)</f>
        <v>120</v>
      </c>
      <c r="F89" s="17" t="n">
        <f aca="false">D89*E89</f>
        <v>12000</v>
      </c>
      <c r="G89" s="34" t="n">
        <f aca="false">F89/1024</f>
        <v>11.71875</v>
      </c>
      <c r="H89" s="34" t="n">
        <f aca="false">G89/1024</f>
        <v>0.011444091796875</v>
      </c>
      <c r="I89" s="17" t="n">
        <f aca="false">H89/1024</f>
        <v>1.11758708953857E-005</v>
      </c>
      <c r="J89" s="19"/>
      <c r="K89" s="19"/>
      <c r="L89" s="18"/>
      <c r="M89" s="18"/>
      <c r="N89" s="19"/>
    </row>
    <row r="90" customFormat="false" ht="13.8" hidden="false" customHeight="false" outlineLevel="0" collapsed="false">
      <c r="A90" s="37" t="s">
        <v>5</v>
      </c>
      <c r="B90" s="5" t="n">
        <v>6</v>
      </c>
      <c r="C90" s="5" t="n">
        <v>0</v>
      </c>
      <c r="D90" s="17" t="n">
        <f aca="false">B90+10*C90</f>
        <v>6</v>
      </c>
      <c r="E90" s="17" t="n">
        <f aca="false">SUM(E47:E48)</f>
        <v>106</v>
      </c>
      <c r="F90" s="17" t="n">
        <f aca="false">D90*E90</f>
        <v>636</v>
      </c>
      <c r="G90" s="34" t="n">
        <f aca="false">F90/1024</f>
        <v>0.62109375</v>
      </c>
      <c r="H90" s="34" t="n">
        <f aca="false">G90/1024</f>
        <v>0.000606536865234375</v>
      </c>
      <c r="I90" s="17" t="n">
        <f aca="false">H90/1024</f>
        <v>5.92321157455444E-007</v>
      </c>
      <c r="J90" s="19"/>
      <c r="K90" s="19"/>
      <c r="L90" s="18"/>
      <c r="M90" s="18"/>
      <c r="N90" s="19"/>
    </row>
    <row r="91" customFormat="false" ht="13.8" hidden="false" customHeight="false" outlineLevel="0" collapsed="false">
      <c r="A91" s="37" t="s">
        <v>6</v>
      </c>
      <c r="B91" s="5" t="n">
        <v>70</v>
      </c>
      <c r="C91" s="5" t="n">
        <v>15</v>
      </c>
      <c r="D91" s="17" t="n">
        <f aca="false">B91+10*C91</f>
        <v>220</v>
      </c>
      <c r="E91" s="17" t="n">
        <f aca="false">SUM(E49:E55)</f>
        <v>134</v>
      </c>
      <c r="F91" s="17" t="n">
        <f aca="false">D91*E91</f>
        <v>29480</v>
      </c>
      <c r="G91" s="34" t="n">
        <f aca="false">F91/1024</f>
        <v>28.7890625</v>
      </c>
      <c r="H91" s="34" t="n">
        <f aca="false">G91/1024</f>
        <v>0.0281143188476563</v>
      </c>
      <c r="I91" s="17" t="n">
        <f aca="false">H91/1024</f>
        <v>2.74553894996643E-005</v>
      </c>
      <c r="J91" s="19"/>
      <c r="K91" s="19"/>
      <c r="L91" s="18"/>
      <c r="M91" s="18"/>
      <c r="N91" s="19"/>
    </row>
    <row r="92" customFormat="false" ht="23.25" hidden="false" customHeight="true" outlineLevel="0" collapsed="false">
      <c r="A92" s="37" t="s">
        <v>7</v>
      </c>
      <c r="B92" s="5" t="n">
        <v>50</v>
      </c>
      <c r="C92" s="5" t="n">
        <v>2</v>
      </c>
      <c r="D92" s="17" t="n">
        <f aca="false">B92+10*C92</f>
        <v>70</v>
      </c>
      <c r="E92" s="17" t="n">
        <f aca="false">SUM(E57:E61)</f>
        <v>16</v>
      </c>
      <c r="F92" s="17" t="n">
        <f aca="false">D92*E92</f>
        <v>1120</v>
      </c>
      <c r="G92" s="34" t="n">
        <f aca="false">F92/1024</f>
        <v>1.09375</v>
      </c>
      <c r="H92" s="34" t="n">
        <f aca="false">G92/1024</f>
        <v>0.001068115234375</v>
      </c>
      <c r="I92" s="17" t="n">
        <f aca="false">H92/1024</f>
        <v>1.04308128356934E-006</v>
      </c>
      <c r="J92" s="19"/>
      <c r="K92" s="19"/>
      <c r="L92" s="18"/>
      <c r="M92" s="18"/>
      <c r="N92" s="19"/>
    </row>
    <row r="93" customFormat="false" ht="13.8" hidden="false" customHeight="false" outlineLevel="0" collapsed="false">
      <c r="A93" s="35" t="s">
        <v>8</v>
      </c>
      <c r="B93" s="16" t="n">
        <v>250</v>
      </c>
      <c r="C93" s="16" t="n">
        <v>25</v>
      </c>
      <c r="D93" s="17" t="n">
        <f aca="false">B93+10*C93</f>
        <v>500</v>
      </c>
      <c r="E93" s="17" t="n">
        <f aca="false">SUM(E62:E65)</f>
        <v>12</v>
      </c>
      <c r="F93" s="17" t="n">
        <f aca="false">D93*E93</f>
        <v>6000</v>
      </c>
      <c r="G93" s="34" t="n">
        <f aca="false">F93/1024</f>
        <v>5.859375</v>
      </c>
      <c r="H93" s="34" t="n">
        <f aca="false">G93/1024</f>
        <v>0.0057220458984375</v>
      </c>
      <c r="I93" s="17" t="n">
        <f aca="false">H93/1024</f>
        <v>5.58793544769287E-006</v>
      </c>
      <c r="J93" s="19"/>
      <c r="K93" s="19"/>
      <c r="L93" s="18"/>
      <c r="M93" s="18"/>
      <c r="N93" s="19"/>
    </row>
    <row r="94" customFormat="false" ht="13.8" hidden="false" customHeight="false" outlineLevel="0" collapsed="false">
      <c r="A94" s="35" t="s">
        <v>9</v>
      </c>
      <c r="B94" s="38" t="n">
        <v>30000000</v>
      </c>
      <c r="C94" s="38" t="n">
        <v>33000000</v>
      </c>
      <c r="D94" s="17" t="n">
        <f aca="false">B94+10*C94</f>
        <v>360000000</v>
      </c>
      <c r="E94" s="17" t="n">
        <f aca="false">SUM(E66:E69)</f>
        <v>21</v>
      </c>
      <c r="F94" s="17" t="n">
        <f aca="false">D94*E94</f>
        <v>7560000000</v>
      </c>
      <c r="G94" s="34" t="n">
        <f aca="false">F94/1024</f>
        <v>7382812.5</v>
      </c>
      <c r="H94" s="34" t="n">
        <f aca="false">G94/1024</f>
        <v>7209.77783203125</v>
      </c>
      <c r="I94" s="17" t="n">
        <f aca="false">H94/1024</f>
        <v>7.04079866409302</v>
      </c>
      <c r="J94" s="19"/>
      <c r="K94" s="19"/>
      <c r="L94" s="18"/>
      <c r="M94" s="18"/>
      <c r="N94" s="19"/>
    </row>
    <row r="95" customFormat="false" ht="13.8" hidden="false" customHeight="false" outlineLevel="0" collapsed="false">
      <c r="A95" s="35" t="s">
        <v>10</v>
      </c>
      <c r="B95" s="16" t="n">
        <v>30000</v>
      </c>
      <c r="C95" s="16" t="n">
        <v>36000</v>
      </c>
      <c r="D95" s="17" t="n">
        <f aca="false">B95+10*C95</f>
        <v>390000</v>
      </c>
      <c r="E95" s="17" t="n">
        <f aca="false">SUM(E70:E74)</f>
        <v>20</v>
      </c>
      <c r="F95" s="17" t="n">
        <f aca="false">D95*E95</f>
        <v>7800000</v>
      </c>
      <c r="G95" s="34" t="n">
        <f aca="false">F95/1024</f>
        <v>7617.1875</v>
      </c>
      <c r="H95" s="34" t="n">
        <f aca="false">G95/1024</f>
        <v>7.43865966796875</v>
      </c>
      <c r="I95" s="17" t="n">
        <f aca="false">H95/1024</f>
        <v>0.00726431608200073</v>
      </c>
      <c r="J95" s="19"/>
      <c r="K95" s="19"/>
      <c r="L95" s="18"/>
      <c r="M95" s="18"/>
      <c r="N95" s="19"/>
    </row>
    <row r="96" customFormat="false" ht="13.8" hidden="false" customHeight="false" outlineLevel="0" collapsed="false">
      <c r="A96" s="21" t="s">
        <v>24</v>
      </c>
      <c r="B96" s="16" t="n">
        <v>250</v>
      </c>
      <c r="C96" s="16" t="n">
        <v>39</v>
      </c>
      <c r="D96" s="17" t="n">
        <f aca="false">B96+10*C96</f>
        <v>640</v>
      </c>
      <c r="E96" s="17" t="n">
        <f aca="false">SUM(E76:E80)</f>
        <v>171</v>
      </c>
      <c r="F96" s="17" t="n">
        <f aca="false">D96*E96</f>
        <v>109440</v>
      </c>
      <c r="G96" s="34" t="n">
        <f aca="false">F96/1024</f>
        <v>106.875</v>
      </c>
      <c r="H96" s="34" t="n">
        <f aca="false">G96/1024</f>
        <v>0.1043701171875</v>
      </c>
      <c r="I96" s="17" t="n">
        <f aca="false">H96/1024</f>
        <v>0.000101923942565918</v>
      </c>
      <c r="J96" s="19"/>
      <c r="K96" s="19"/>
      <c r="L96" s="18"/>
      <c r="M96" s="18"/>
      <c r="N96" s="19"/>
    </row>
    <row r="97" customFormat="false" ht="13.8" hidden="false" customHeight="false" outlineLevel="0" collapsed="false">
      <c r="J97" s="19"/>
      <c r="K97" s="19"/>
      <c r="L97" s="18"/>
      <c r="M97" s="18"/>
      <c r="N97" s="19"/>
    </row>
    <row r="98" customFormat="false" ht="13.8" hidden="false" customHeight="false" outlineLevel="0" collapsed="false">
      <c r="A98" s="39" t="s">
        <v>100</v>
      </c>
      <c r="B98" s="40"/>
      <c r="C98" s="40"/>
      <c r="D98" s="19"/>
      <c r="E98" s="19"/>
      <c r="F98" s="17" t="n">
        <f aca="false">SUM(F85:F96)</f>
        <v>9608086476</v>
      </c>
      <c r="G98" s="17" t="n">
        <f aca="false">SUM(G85:G96)</f>
        <v>9382896.94921875</v>
      </c>
      <c r="H98" s="17" t="n">
        <f aca="false">SUM(H85:H96)</f>
        <v>9162.98530197144</v>
      </c>
      <c r="I98" s="17" t="n">
        <f aca="false">SUM(I85:I96)</f>
        <v>8.94822783395649</v>
      </c>
      <c r="J98" s="19"/>
      <c r="K98" s="19"/>
      <c r="L98" s="18"/>
      <c r="M98" s="18"/>
      <c r="N98" s="19"/>
    </row>
    <row r="99" customFormat="false" ht="34.5" hidden="false" customHeight="true" outlineLevel="0" collapsed="false">
      <c r="A99" s="19"/>
      <c r="B99" s="19"/>
      <c r="C99" s="19"/>
      <c r="D99" s="19"/>
      <c r="E99" s="19"/>
      <c r="F99" s="19"/>
      <c r="G99" s="19"/>
      <c r="H99" s="19"/>
      <c r="I99" s="19" t="s">
        <v>101</v>
      </c>
      <c r="J99" s="19"/>
      <c r="K99" s="19"/>
      <c r="L99" s="18"/>
      <c r="M99" s="18"/>
      <c r="N99" s="19"/>
    </row>
    <row r="100" customFormat="false" ht="34.5" hidden="false" customHeight="true" outlineLevel="0" collapsed="false">
      <c r="A100" s="41" t="s">
        <v>102</v>
      </c>
      <c r="B100" s="41"/>
      <c r="C100" s="41"/>
      <c r="D100" s="42" t="n">
        <v>0.4</v>
      </c>
      <c r="E100" s="19"/>
      <c r="F100" s="17" t="n">
        <f aca="false">F98*1.4</f>
        <v>13451321066.4</v>
      </c>
      <c r="G100" s="17" t="n">
        <f aca="false">G98*1.4</f>
        <v>13136055.7289063</v>
      </c>
      <c r="H100" s="17" t="n">
        <f aca="false">H98*1.4</f>
        <v>12828.17942276</v>
      </c>
      <c r="I100" s="17" t="n">
        <f aca="false">I98*1.4</f>
        <v>12.5275189675391</v>
      </c>
      <c r="J100" s="19"/>
      <c r="K100" s="19"/>
      <c r="L100" s="18"/>
      <c r="M100" s="18"/>
      <c r="N100" s="19"/>
    </row>
    <row r="101" customFormat="false" ht="15" hidden="false" customHeight="false" outlineLevel="0" collapsed="false">
      <c r="A101" s="21"/>
      <c r="B101" s="16"/>
      <c r="C101" s="16"/>
      <c r="D101" s="20"/>
      <c r="E101" s="19"/>
      <c r="F101" s="18"/>
      <c r="G101" s="18"/>
      <c r="H101" s="18"/>
      <c r="I101" s="19"/>
      <c r="J101" s="19"/>
      <c r="K101" s="19"/>
      <c r="L101" s="18"/>
      <c r="M101" s="18"/>
      <c r="N101" s="19"/>
    </row>
    <row r="102" customFormat="false" ht="15" hidden="false" customHeight="false" outlineLevel="0" collapsed="false">
      <c r="A102" s="21"/>
      <c r="B102" s="16"/>
      <c r="C102" s="16"/>
      <c r="D102" s="20"/>
      <c r="E102" s="19"/>
      <c r="F102" s="18"/>
      <c r="G102" s="18"/>
      <c r="H102" s="18"/>
      <c r="I102" s="19"/>
      <c r="J102" s="19"/>
      <c r="K102" s="19"/>
      <c r="L102" s="18"/>
      <c r="M102" s="18"/>
      <c r="N102" s="19"/>
    </row>
    <row r="103" customFormat="false" ht="15" hidden="false" customHeight="false" outlineLevel="0" collapsed="false">
      <c r="A103" s="21"/>
      <c r="B103" s="16"/>
      <c r="C103" s="16"/>
      <c r="D103" s="20"/>
      <c r="E103" s="19"/>
      <c r="F103" s="18"/>
      <c r="G103" s="18"/>
      <c r="H103" s="18"/>
      <c r="I103" s="19"/>
      <c r="J103" s="19"/>
      <c r="K103" s="19"/>
      <c r="L103" s="18"/>
      <c r="M103" s="18"/>
      <c r="N103" s="19"/>
    </row>
    <row r="104" customFormat="false" ht="15" hidden="false" customHeight="false" outlineLevel="0" collapsed="false">
      <c r="J104" s="19"/>
      <c r="K104" s="19"/>
      <c r="L104" s="18"/>
      <c r="M104" s="18"/>
      <c r="N104" s="19"/>
    </row>
    <row r="105" customFormat="false" ht="15" hidden="false" customHeight="false" outlineLevel="0" collapsed="false">
      <c r="J105" s="19"/>
      <c r="K105" s="19"/>
      <c r="L105" s="18"/>
      <c r="M105" s="18"/>
      <c r="N105" s="19"/>
    </row>
    <row r="106" customFormat="false" ht="15" hidden="false" customHeight="false" outlineLevel="0" collapsed="false">
      <c r="J106" s="19"/>
      <c r="K106" s="19"/>
      <c r="L106" s="18"/>
      <c r="M106" s="18"/>
      <c r="N106" s="19"/>
    </row>
    <row r="107" customFormat="false" ht="15" hidden="false" customHeight="false" outlineLevel="0" collapsed="false">
      <c r="A107" s="21"/>
      <c r="B107" s="16"/>
      <c r="C107" s="16"/>
      <c r="D107" s="20"/>
      <c r="E107" s="19"/>
      <c r="F107" s="18"/>
      <c r="G107" s="18"/>
      <c r="H107" s="18"/>
      <c r="I107" s="19"/>
      <c r="J107" s="19"/>
      <c r="K107" s="19"/>
      <c r="L107" s="18"/>
      <c r="M107" s="18"/>
      <c r="N107" s="19"/>
    </row>
    <row r="108" customFormat="false" ht="15" hidden="false" customHeight="false" outlineLevel="0" collapsed="false">
      <c r="A108" s="21"/>
      <c r="B108" s="16"/>
      <c r="C108" s="16"/>
      <c r="D108" s="20"/>
      <c r="E108" s="19"/>
      <c r="F108" s="18"/>
      <c r="G108" s="18"/>
      <c r="H108" s="18"/>
      <c r="I108" s="19"/>
      <c r="J108" s="19"/>
      <c r="K108" s="19"/>
      <c r="L108" s="18"/>
      <c r="M108" s="18"/>
      <c r="N108" s="19"/>
    </row>
    <row r="109" customFormat="false" ht="15" hidden="false" customHeight="false" outlineLevel="0" collapsed="false">
      <c r="A109" s="21"/>
      <c r="B109" s="16"/>
      <c r="C109" s="16"/>
      <c r="D109" s="20"/>
      <c r="E109" s="19"/>
      <c r="F109" s="18"/>
      <c r="G109" s="18"/>
      <c r="H109" s="18"/>
      <c r="I109" s="19"/>
      <c r="J109" s="19"/>
      <c r="K109" s="19"/>
      <c r="L109" s="18"/>
      <c r="M109" s="18"/>
      <c r="N109" s="19"/>
    </row>
    <row r="110" customFormat="false" ht="15" hidden="false" customHeight="false" outlineLevel="0" collapsed="false">
      <c r="A110" s="21"/>
      <c r="B110" s="16"/>
      <c r="C110" s="16"/>
      <c r="D110" s="20"/>
      <c r="E110" s="19"/>
      <c r="F110" s="18"/>
      <c r="G110" s="18"/>
      <c r="H110" s="18"/>
      <c r="I110" s="19"/>
      <c r="J110" s="19"/>
      <c r="K110" s="19"/>
      <c r="L110" s="18"/>
      <c r="M110" s="18"/>
      <c r="N110" s="19"/>
    </row>
    <row r="111" customFormat="false" ht="15" hidden="false" customHeight="false" outlineLevel="0" collapsed="false">
      <c r="A111" s="21"/>
      <c r="B111" s="16"/>
      <c r="C111" s="16"/>
      <c r="D111" s="20"/>
      <c r="E111" s="19"/>
      <c r="F111" s="18"/>
      <c r="G111" s="18"/>
      <c r="H111" s="18"/>
      <c r="I111" s="19"/>
      <c r="J111" s="19"/>
      <c r="K111" s="19"/>
      <c r="L111" s="18"/>
      <c r="M111" s="18"/>
      <c r="N111" s="19"/>
    </row>
    <row r="112" customFormat="false" ht="15" hidden="false" customHeight="false" outlineLevel="0" collapsed="false">
      <c r="A112" s="21"/>
      <c r="B112" s="16"/>
      <c r="C112" s="16"/>
      <c r="D112" s="20"/>
      <c r="E112" s="19"/>
      <c r="F112" s="18"/>
      <c r="G112" s="18"/>
      <c r="H112" s="18"/>
      <c r="I112" s="19"/>
      <c r="J112" s="19"/>
      <c r="K112" s="19"/>
      <c r="L112" s="18"/>
      <c r="M112" s="18"/>
      <c r="N112" s="19"/>
    </row>
    <row r="113" customFormat="false" ht="15" hidden="false" customHeight="false" outlineLevel="0" collapsed="false">
      <c r="A113" s="21"/>
      <c r="B113" s="16"/>
      <c r="C113" s="16"/>
      <c r="D113" s="20"/>
      <c r="E113" s="19"/>
      <c r="F113" s="18"/>
      <c r="G113" s="18"/>
      <c r="H113" s="18"/>
      <c r="I113" s="19"/>
      <c r="J113" s="19"/>
      <c r="K113" s="19"/>
      <c r="L113" s="18"/>
      <c r="M113" s="18"/>
      <c r="N113" s="19"/>
    </row>
    <row r="114" customFormat="false" ht="15" hidden="false" customHeight="false" outlineLevel="0" collapsed="false">
      <c r="J114" s="19"/>
      <c r="K114" s="19"/>
      <c r="L114" s="18"/>
      <c r="M114" s="18"/>
      <c r="N114" s="19"/>
    </row>
    <row r="115" customFormat="false" ht="15" hidden="false" customHeight="false" outlineLevel="0" collapsed="false">
      <c r="J115" s="19"/>
      <c r="K115" s="19"/>
      <c r="L115" s="18"/>
      <c r="M115" s="18"/>
      <c r="N115" s="19"/>
    </row>
    <row r="116" customFormat="false" ht="15" hidden="false" customHeight="false" outlineLevel="0" collapsed="false">
      <c r="J116" s="19"/>
      <c r="K116" s="19"/>
      <c r="L116" s="18"/>
      <c r="M116" s="18"/>
      <c r="N116" s="19"/>
    </row>
    <row r="117" customFormat="false" ht="15" hidden="false" customHeight="false" outlineLevel="0" collapsed="false">
      <c r="J117" s="19"/>
      <c r="K117" s="19"/>
      <c r="L117" s="18"/>
      <c r="M117" s="18"/>
      <c r="N117" s="19"/>
    </row>
    <row r="118" customFormat="false" ht="15" hidden="false" customHeight="false" outlineLevel="0" collapsed="false">
      <c r="J118" s="19"/>
      <c r="K118" s="19"/>
      <c r="L118" s="18"/>
      <c r="M118" s="18"/>
      <c r="N118" s="19"/>
    </row>
    <row r="119" customFormat="false" ht="15" hidden="false" customHeight="false" outlineLevel="0" collapsed="false">
      <c r="J119" s="19"/>
      <c r="K119" s="19"/>
      <c r="L119" s="18"/>
      <c r="M119" s="18"/>
      <c r="N119" s="19"/>
    </row>
    <row r="120" customFormat="false" ht="15" hidden="false" customHeight="false" outlineLevel="0" collapsed="false">
      <c r="J120" s="19"/>
      <c r="K120" s="19"/>
      <c r="L120" s="18"/>
      <c r="M120" s="18"/>
      <c r="N120" s="19"/>
    </row>
    <row r="121" customFormat="false" ht="15" hidden="false" customHeight="false" outlineLevel="0" collapsed="false">
      <c r="J121" s="19"/>
      <c r="K121" s="19"/>
      <c r="L121" s="18"/>
      <c r="M121" s="18"/>
      <c r="N121" s="19"/>
    </row>
    <row r="122" customFormat="false" ht="15" hidden="false" customHeight="false" outlineLevel="0" collapsed="false">
      <c r="J122" s="19"/>
      <c r="K122" s="19"/>
      <c r="L122" s="18"/>
      <c r="M122" s="18"/>
      <c r="N122" s="19"/>
    </row>
    <row r="123" customFormat="false" ht="15" hidden="false" customHeight="false" outlineLevel="0" collapsed="false">
      <c r="J123" s="19"/>
      <c r="K123" s="19"/>
      <c r="L123" s="18"/>
      <c r="M123" s="18"/>
      <c r="N123" s="19"/>
    </row>
    <row r="124" customFormat="false" ht="15" hidden="false" customHeight="false" outlineLevel="0" collapsed="false">
      <c r="J124" s="19"/>
      <c r="K124" s="19"/>
      <c r="L124" s="18"/>
      <c r="M124" s="18"/>
      <c r="N124" s="19"/>
    </row>
    <row r="125" customFormat="false" ht="15" hidden="false" customHeight="false" outlineLevel="0" collapsed="false">
      <c r="J125" s="19"/>
      <c r="K125" s="19"/>
      <c r="L125" s="18"/>
      <c r="M125" s="18"/>
      <c r="N125" s="19"/>
    </row>
    <row r="126" customFormat="false" ht="15" hidden="false" customHeight="false" outlineLevel="0" collapsed="false">
      <c r="J126" s="19"/>
      <c r="K126" s="19"/>
      <c r="L126" s="18"/>
      <c r="M126" s="18"/>
      <c r="N126" s="19"/>
    </row>
  </sheetData>
  <mergeCells count="4">
    <mergeCell ref="A81:B81"/>
    <mergeCell ref="A82:F82"/>
    <mergeCell ref="A83:B83"/>
    <mergeCell ref="A100:C10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204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2026-08-10T13:37:04Z</dcterms:created>
  <dc:creator/>
  <dc:description/>
  <dc:language>de-DE</dc:language>
  <cp:lastModifiedBy/>
  <dcterms:modified xsi:type="dcterms:W3CDTF">2026-08-26T15:00:25Z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